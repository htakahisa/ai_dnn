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570BF206-E9D8-4A7E-9A7F-55B7A7975F9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シー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1eneVEXfzm3HsejH5qOmumyOSBnvg0UPv95XxljNzs="/>
    </ext>
  </extLst>
</workbook>
</file>

<file path=xl/calcChain.xml><?xml version="1.0" encoding="utf-8"?>
<calcChain xmlns="http://schemas.openxmlformats.org/spreadsheetml/2006/main">
  <c r="M89" i="1" l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93" i="1"/>
  <c r="K93" i="1"/>
  <c r="J93" i="1"/>
  <c r="M92" i="1"/>
  <c r="K92" i="1"/>
  <c r="J92" i="1"/>
  <c r="M91" i="1"/>
  <c r="K91" i="1"/>
  <c r="J91" i="1"/>
  <c r="M90" i="1"/>
  <c r="K90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Q2" i="1" a="1"/>
  <c r="Q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<sst xmlns="http://schemas.openxmlformats.org/spreadsheetml/2006/main" count="207" uniqueCount="108">
  <si>
    <t>名前</t>
  </si>
  <si>
    <t>hs%</t>
  </si>
  <si>
    <t>弾除け%</t>
  </si>
  <si>
    <t>IQ</t>
  </si>
  <si>
    <t>hit%</t>
  </si>
  <si>
    <t>反応速度</t>
  </si>
  <si>
    <t>ロール</t>
  </si>
  <si>
    <t>影響力</t>
  </si>
  <si>
    <t>調子の波</t>
  </si>
  <si>
    <t>総合能力</t>
  </si>
  <si>
    <t>撃ち合い戦闘力</t>
  </si>
  <si>
    <t>解禁</t>
  </si>
  <si>
    <t>Chronicle</t>
  </si>
  <si>
    <t>フラッシュ</t>
  </si>
  <si>
    <t>Demon1</t>
  </si>
  <si>
    <t>スモーカー</t>
  </si>
  <si>
    <t>something</t>
  </si>
  <si>
    <t>タイガー</t>
  </si>
  <si>
    <t>Leo</t>
  </si>
  <si>
    <t>シーカー</t>
  </si>
  <si>
    <t>Alfajer</t>
  </si>
  <si>
    <t>Derke</t>
  </si>
  <si>
    <t>Boaster</t>
  </si>
  <si>
    <t>Aspas</t>
  </si>
  <si>
    <t>F0rsakeN</t>
  </si>
  <si>
    <t>Jinggg</t>
  </si>
  <si>
    <t>d4v41</t>
  </si>
  <si>
    <t>Sato</t>
  </si>
  <si>
    <t>jawgemo</t>
  </si>
  <si>
    <t>valyn</t>
  </si>
  <si>
    <t>Ethan</t>
  </si>
  <si>
    <t>Wo0t</t>
  </si>
  <si>
    <t>kaajak</t>
  </si>
  <si>
    <t>Meiy</t>
  </si>
  <si>
    <t>Verno</t>
  </si>
  <si>
    <t>Sayonara</t>
  </si>
  <si>
    <t>Jamppi</t>
  </si>
  <si>
    <t>Boostio</t>
  </si>
  <si>
    <t>Primmie</t>
  </si>
  <si>
    <t>Tortlilyan</t>
  </si>
  <si>
    <t>まーやまくん</t>
  </si>
  <si>
    <t>おもこ</t>
  </si>
  <si>
    <t>Meteor</t>
  </si>
  <si>
    <t>Laz</t>
  </si>
  <si>
    <t>ZMJKK</t>
  </si>
  <si>
    <t>Brawk</t>
  </si>
  <si>
    <t>HYUNMIN</t>
  </si>
  <si>
    <t>Flashback</t>
  </si>
  <si>
    <t>Mako</t>
  </si>
  <si>
    <t>t3xture</t>
  </si>
  <si>
    <t>trent</t>
  </si>
  <si>
    <t>leaf</t>
  </si>
  <si>
    <t>keiko</t>
  </si>
  <si>
    <t>Rb</t>
  </si>
  <si>
    <t>stax</t>
  </si>
  <si>
    <t>tex</t>
  </si>
  <si>
    <t>Mazino</t>
  </si>
  <si>
    <t>Zekken</t>
  </si>
  <si>
    <t>BABYBAY</t>
  </si>
  <si>
    <t>Dep</t>
  </si>
  <si>
    <t>SugarZ3ro</t>
  </si>
  <si>
    <t>Buzz</t>
  </si>
  <si>
    <t>TenZ</t>
  </si>
  <si>
    <t>eggsterr</t>
  </si>
  <si>
    <t>Rossy</t>
  </si>
  <si>
    <t>Rarga</t>
  </si>
  <si>
    <t>Lysoar</t>
  </si>
  <si>
    <t>Smoggy</t>
  </si>
  <si>
    <t>CHICHOO</t>
  </si>
  <si>
    <t>crashies</t>
  </si>
  <si>
    <t>FNS</t>
  </si>
  <si>
    <t>nAts</t>
  </si>
  <si>
    <t>Lar0k</t>
  </si>
  <si>
    <t>skuba</t>
  </si>
  <si>
    <t>C0M</t>
  </si>
  <si>
    <t>mada</t>
  </si>
  <si>
    <t>s0m</t>
  </si>
  <si>
    <t>Lohen</t>
  </si>
  <si>
    <t>Furina</t>
  </si>
  <si>
    <t>Lisa</t>
  </si>
  <si>
    <t>Jean</t>
  </si>
  <si>
    <t>Kachina</t>
  </si>
  <si>
    <t>IbarakiNinja</t>
  </si>
  <si>
    <t>Canezerra</t>
  </si>
  <si>
    <t>Arlecchino</t>
  </si>
  <si>
    <t>WsLeo</t>
  </si>
  <si>
    <t>Zest</t>
  </si>
  <si>
    <t>Tartaglia</t>
  </si>
  <si>
    <t>Nanasaki</t>
  </si>
  <si>
    <t>Less</t>
  </si>
  <si>
    <t>WoohyuN</t>
  </si>
  <si>
    <t>Asuna</t>
  </si>
  <si>
    <t>Cryocells</t>
  </si>
  <si>
    <t>vo0kashu</t>
  </si>
  <si>
    <t>Absol</t>
  </si>
  <si>
    <t>marteen</t>
  </si>
  <si>
    <t>Crewn</t>
  </si>
  <si>
    <t>Loita</t>
  </si>
  <si>
    <t>Katarina</t>
  </si>
  <si>
    <t>SereNa</t>
  </si>
  <si>
    <t>cNed</t>
  </si>
  <si>
    <t>soulcas</t>
  </si>
  <si>
    <t>trexx</t>
  </si>
  <si>
    <t>mindfreak</t>
  </si>
  <si>
    <t>ろびぃな</t>
  </si>
  <si>
    <t>えんぺん</t>
  </si>
  <si>
    <t>イグルン</t>
  </si>
  <si>
    <t>夢の街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</si>
</sst>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1" fontId="2" fillId="0" borderId="0" xfId="0" applyNumberFormat="1" applyFont="1"/>
    <xf numFmtId="0" fontId="2" fillId="0" borderId="0" xfId="0" applyFont="1"/>
    <xf numFmtId="0" fontId="1" fillId="0" borderId="0" xfId="0" applyNumberFormat="1" applyFont="1"/>
    <xf numFmtId="0" fontId="1" fillId="0" borderId="0" xfId="0" applyNumberFormat="1" applyFont="1" applyAlignment="1"/>
    <xf numFmtId="0" fontId="2" fillId="0" borderId="0" xfId="0" applyNumberFormat="1" applyFont="1" applyAlignment="1"/>
    <xf numFmtId="0" fontId="0" fillId="0" borderId="0" xfId="0" applyNumberFormat="1" applyFont="1" applyAlignment="1"/>
    <xf numFmtId="1" fontId="0" fillId="0" borderId="0" xfId="0" applyNumberFormat="1" applyFont="1" applyAlignment="1"/>
    <xf numFmtId="2" fontId="0" fillId="0" borderId="0" xfId="0" applyNumberFormat="1" applyFont="1" applyAlignment="1"/>
    <xf numFmtId="0" fontId="0" fillId="0" borderId="0" xfId="0"/>
    <xf numFmtId="1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topLeftCell="M1" workbookViewId="0">
      <selection activeCell="R5" sqref="R5"/>
    </sheetView>
  </sheetViews>
  <sheetFormatPr defaultColWidth="12.5703125" defaultRowHeight="15" customHeight="1"/>
  <cols>
    <col min="1" max="1" width="18.5703125" customWidth="1"/>
    <col min="2" max="6" width="12.5703125" customWidth="1"/>
    <col min="8" max="8" width="14.42578125" customWidth="1"/>
    <col min="9" max="10" width="16.5703125" customWidth="1"/>
    <col min="11" max="11" width="14.42578125" customWidth="1"/>
    <col min="16" max="16" width="55.5703125" customWidth="1"/>
    <col min="17" max="17" width="14.85546875" customWidth="1"/>
    <col min="19" max="19" width="14.7109375" customWidth="1"/>
    <col min="21" max="21" width="14.28515625" customWidth="1"/>
    <col min="26" max="26" width="15.7109375" customWidth="1"/>
  </cols>
  <sheetData>
    <row r="1" spans="1:27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t="s">
        <v>6</v>
      </c>
      <c r="H1" s="3" t="s">
        <v>7</v>
      </c>
      <c r="I1" s="3" t="s">
        <v>8</v>
      </c>
      <c r="J1" s="3" t="s">
        <v>9</v>
      </c>
      <c r="K1" t="s">
        <v>10</v>
      </c>
      <c r="L1" s="1" t="s">
        <v>11</v>
      </c>
      <c r="M1" s="12"/>
      <c r="N1" s="2"/>
      <c r="O1" s="1"/>
      <c r="P1" s="1"/>
      <c r="Q1" s="1" t="s">
        <v>0</v>
      </c>
      <c r="R1" s="1" t="s">
        <v>1</v>
      </c>
      <c r="S1" s="2" t="s">
        <v>2</v>
      </c>
      <c r="T1" s="1" t="s">
        <v>3</v>
      </c>
      <c r="U1" s="1" t="s">
        <v>4</v>
      </c>
      <c r="V1" s="3" t="s">
        <v>5</v>
      </c>
      <c r="W1" t="s">
        <v>6</v>
      </c>
      <c r="X1" s="3" t="s">
        <v>7</v>
      </c>
      <c r="Y1" s="3" t="s">
        <v>9</v>
      </c>
      <c r="Z1" t="s">
        <v>10</v>
      </c>
      <c r="AA1" s="1" t="s">
        <v>11</v>
      </c>
    </row>
    <row r="2" spans="1:27" ht="15.75" customHeight="1">
      <c r="A2" s="1" t="s">
        <v>12</v>
      </c>
      <c r="B2" s="6">
        <v>0.35</v>
      </c>
      <c r="C2" s="2">
        <v>0.23</v>
      </c>
      <c r="D2" s="2">
        <v>105</v>
      </c>
      <c r="E2" s="2">
        <v>0.78</v>
      </c>
      <c r="F2" s="4">
        <v>135</v>
      </c>
      <c r="G2" t="s">
        <v>13</v>
      </c>
      <c r="H2" s="4">
        <v>80</v>
      </c>
      <c r="I2" s="4">
        <v>3</v>
      </c>
      <c r="J2" s="4">
        <f>B2*130+(C2)*170+(D2/2)+(E2-0.2)*130+(F2/2.2)</f>
        <v>273.86363636363637</v>
      </c>
      <c r="K2" s="10">
        <f>B2*130+(C2)*170+(E2-0.2)*130+(F2/2.2)</f>
        <v>221.36363636363637</v>
      </c>
      <c r="L2">
        <v>1</v>
      </c>
      <c r="M2" s="12" t="str">
        <f t="shared" ref="M1:M64" si="0">""""&amp;A2&amp;""": CharacterStats("""&amp;A2&amp;""","&amp;B2&amp;","&amp;C2&amp;","&amp;D2&amp;","&amp;E2&amp;","&amp;F2&amp;","&amp;""""&amp;G2&amp;""","&amp;H2&amp;","&amp;I2&amp;"),"</f>
        <v>"Chronicle": CharacterStats("Chronicle",0.35,0.23,105,0.78,135,"フラッシュ",80,3),</v>
      </c>
      <c r="Q2" t="str" cm="1">
        <f t="array" ref="Q2:AA97">_xlfn._xlws.SORT(A2:K97, {9}, {-1})</f>
        <v>Aspas</v>
      </c>
      <c r="R2" s="11">
        <v>0.4</v>
      </c>
      <c r="S2" s="11">
        <v>0.24</v>
      </c>
      <c r="T2" s="10">
        <v>90</v>
      </c>
      <c r="U2" s="11">
        <v>0.87</v>
      </c>
      <c r="V2" s="10">
        <v>120</v>
      </c>
      <c r="W2" t="str">
        <v>タイガー</v>
      </c>
      <c r="X2">
        <v>130</v>
      </c>
      <c r="Y2" s="10">
        <v>10</v>
      </c>
      <c r="Z2" s="10">
        <v>279.44545454545454</v>
      </c>
      <c r="AA2">
        <v>234.44545454545451</v>
      </c>
    </row>
    <row r="3" spans="1:27" ht="15.75" customHeight="1">
      <c r="A3" s="1" t="s">
        <v>14</v>
      </c>
      <c r="B3" s="6">
        <v>0.5</v>
      </c>
      <c r="C3" s="2">
        <v>0.13</v>
      </c>
      <c r="D3" s="1">
        <v>78</v>
      </c>
      <c r="E3" s="2">
        <v>0.85</v>
      </c>
      <c r="F3" s="4">
        <v>145</v>
      </c>
      <c r="G3" t="s">
        <v>15</v>
      </c>
      <c r="H3" s="4">
        <v>150</v>
      </c>
      <c r="I3" s="4">
        <v>4</v>
      </c>
      <c r="J3" s="4">
        <f t="shared" ref="J3:J66" si="1">B3*130+(C3)*170+(D3/2)+(E3-0.2)*130+(F3/2.2)</f>
        <v>276.5090909090909</v>
      </c>
      <c r="K3" s="10">
        <f t="shared" ref="K3:K66" si="2">B3*130+(C3)*170+(E3-0.2)*130+(F3/2.2)</f>
        <v>237.50909090909087</v>
      </c>
      <c r="L3">
        <v>1</v>
      </c>
      <c r="M3" s="12" t="str">
        <f t="shared" si="0"/>
        <v>"Demon1": CharacterStats("Demon1",0.5,0.13,78,0.85,145,"スモーカー",150,4),</v>
      </c>
      <c r="Q3" t="str">
        <v>Tortlilyan</v>
      </c>
      <c r="R3" s="11">
        <v>0.23</v>
      </c>
      <c r="S3" s="11">
        <v>0.39</v>
      </c>
      <c r="T3" s="10">
        <v>123</v>
      </c>
      <c r="U3" s="11">
        <v>0.9</v>
      </c>
      <c r="V3" s="10">
        <v>156</v>
      </c>
      <c r="W3" t="str">
        <v>タイガー</v>
      </c>
      <c r="X3">
        <v>50</v>
      </c>
      <c r="Y3" s="10">
        <v>10</v>
      </c>
      <c r="Z3" s="10">
        <v>319.60909090909092</v>
      </c>
      <c r="AA3">
        <v>258.10909090909092</v>
      </c>
    </row>
    <row r="4" spans="1:27" ht="15.75" customHeight="1">
      <c r="A4" s="1" t="s">
        <v>16</v>
      </c>
      <c r="B4" s="6">
        <v>0.35</v>
      </c>
      <c r="C4" s="2">
        <v>0.24</v>
      </c>
      <c r="D4" s="2">
        <v>65</v>
      </c>
      <c r="E4" s="2">
        <v>0.88</v>
      </c>
      <c r="F4" s="4">
        <v>165</v>
      </c>
      <c r="G4" t="s">
        <v>17</v>
      </c>
      <c r="H4" s="4">
        <v>85</v>
      </c>
      <c r="I4" s="4">
        <v>7</v>
      </c>
      <c r="J4" s="4">
        <f t="shared" si="1"/>
        <v>282.2</v>
      </c>
      <c r="K4" s="10">
        <f t="shared" si="2"/>
        <v>249.7</v>
      </c>
      <c r="L4">
        <v>1</v>
      </c>
      <c r="M4" s="12" t="str">
        <f t="shared" si="0"/>
        <v>"something": CharacterStats("something",0.35,0.24,65,0.88,165,"タイガー",85,7),</v>
      </c>
      <c r="Q4" t="str">
        <v>eggsterr</v>
      </c>
      <c r="R4" s="11">
        <v>0.3</v>
      </c>
      <c r="S4" s="11">
        <v>0.22</v>
      </c>
      <c r="T4" s="10">
        <v>88</v>
      </c>
      <c r="U4" s="11">
        <v>0.7</v>
      </c>
      <c r="V4" s="10">
        <v>95</v>
      </c>
      <c r="W4" t="str">
        <v>フラッシュ</v>
      </c>
      <c r="X4">
        <v>50</v>
      </c>
      <c r="Y4" s="10">
        <v>10</v>
      </c>
      <c r="Z4" s="10">
        <v>228.58181818181816</v>
      </c>
      <c r="AA4">
        <v>184.58181818181816</v>
      </c>
    </row>
    <row r="5" spans="1:27" ht="15.75" customHeight="1">
      <c r="A5" s="1" t="s">
        <v>18</v>
      </c>
      <c r="B5" s="7">
        <v>0.27</v>
      </c>
      <c r="C5" s="2">
        <v>0.22</v>
      </c>
      <c r="D5" s="2">
        <v>150</v>
      </c>
      <c r="E5" s="2">
        <v>0.83</v>
      </c>
      <c r="F5" s="4">
        <v>135</v>
      </c>
      <c r="G5" t="s">
        <v>19</v>
      </c>
      <c r="H5" s="4">
        <v>65</v>
      </c>
      <c r="I5" s="4">
        <v>1</v>
      </c>
      <c r="J5" s="4">
        <f t="shared" si="1"/>
        <v>290.76363636363635</v>
      </c>
      <c r="K5" s="10">
        <f t="shared" si="2"/>
        <v>215.76363636363635</v>
      </c>
      <c r="L5">
        <v>1</v>
      </c>
      <c r="M5" s="12" t="str">
        <f t="shared" si="0"/>
        <v>"Leo": CharacterStats("Leo",0.27,0.22,150,0.83,135,"シーカー",65,1),</v>
      </c>
      <c r="Q5" t="str">
        <v>Lohen</v>
      </c>
      <c r="R5" s="11">
        <v>0.4</v>
      </c>
      <c r="S5" s="11">
        <v>0.31</v>
      </c>
      <c r="T5" s="10">
        <v>70</v>
      </c>
      <c r="U5" s="11">
        <v>0.75</v>
      </c>
      <c r="V5" s="10">
        <v>130</v>
      </c>
      <c r="W5" t="str">
        <v>タイガー</v>
      </c>
      <c r="X5">
        <v>100</v>
      </c>
      <c r="Y5" s="10">
        <v>10</v>
      </c>
      <c r="Z5" s="10">
        <v>270.29090909090905</v>
      </c>
      <c r="AA5">
        <v>235.29090909090908</v>
      </c>
    </row>
    <row r="6" spans="1:27" ht="15.75" customHeight="1">
      <c r="A6" s="2" t="s">
        <v>20</v>
      </c>
      <c r="B6" s="6">
        <v>0.45</v>
      </c>
      <c r="C6" s="1">
        <v>0.13</v>
      </c>
      <c r="D6" s="2">
        <v>60</v>
      </c>
      <c r="E6" s="2">
        <v>0.91</v>
      </c>
      <c r="F6" s="4">
        <v>145</v>
      </c>
      <c r="G6" t="s">
        <v>17</v>
      </c>
      <c r="H6" s="4">
        <v>60</v>
      </c>
      <c r="I6" s="4">
        <v>4</v>
      </c>
      <c r="J6" s="4">
        <f t="shared" si="1"/>
        <v>268.80909090909086</v>
      </c>
      <c r="K6" s="10">
        <f t="shared" si="2"/>
        <v>238.80909090909088</v>
      </c>
      <c r="L6">
        <v>1</v>
      </c>
      <c r="M6" s="12" t="str">
        <f t="shared" si="0"/>
        <v>"Alfajer": CharacterStats("Alfajer",0.45,0.13,60,0.91,145,"タイガー",60,4),</v>
      </c>
      <c r="Q6" t="str">
        <v>IbarakiNinja</v>
      </c>
      <c r="R6" s="11">
        <v>0.28000000000000003</v>
      </c>
      <c r="S6" s="11">
        <v>0.16</v>
      </c>
      <c r="T6" s="10">
        <v>110</v>
      </c>
      <c r="U6" s="11">
        <v>0.75</v>
      </c>
      <c r="V6" s="10">
        <v>115</v>
      </c>
      <c r="W6" t="str">
        <v>シーカー</v>
      </c>
      <c r="X6">
        <v>50</v>
      </c>
      <c r="Y6" s="10">
        <v>10</v>
      </c>
      <c r="Z6" s="10">
        <v>242.37272727272727</v>
      </c>
      <c r="AA6">
        <v>187.37272727272727</v>
      </c>
    </row>
    <row r="7" spans="1:27" ht="15.75" customHeight="1">
      <c r="A7" s="1" t="s">
        <v>21</v>
      </c>
      <c r="B7" s="6">
        <v>0.35</v>
      </c>
      <c r="C7" s="2">
        <v>0.24</v>
      </c>
      <c r="D7" s="2">
        <v>90</v>
      </c>
      <c r="E7" s="2">
        <v>0.75</v>
      </c>
      <c r="F7" s="4">
        <v>115</v>
      </c>
      <c r="G7" t="s">
        <v>13</v>
      </c>
      <c r="H7" s="4">
        <v>90</v>
      </c>
      <c r="I7" s="4">
        <v>8</v>
      </c>
      <c r="J7" s="4">
        <f t="shared" si="1"/>
        <v>255.07272727272726</v>
      </c>
      <c r="K7" s="10">
        <f t="shared" si="2"/>
        <v>210.07272727272726</v>
      </c>
      <c r="L7">
        <v>1</v>
      </c>
      <c r="M7" s="12" t="str">
        <f t="shared" si="0"/>
        <v>"Derke": CharacterStats("Derke",0.35,0.24,90,0.75,115,"フラッシュ",90,8),</v>
      </c>
      <c r="Q7" t="str">
        <v>Absol</v>
      </c>
      <c r="R7" s="11">
        <v>0.15</v>
      </c>
      <c r="S7" s="11">
        <v>0.31</v>
      </c>
      <c r="T7" s="10">
        <v>130</v>
      </c>
      <c r="U7" s="11">
        <v>0.87</v>
      </c>
      <c r="V7" s="10">
        <v>155</v>
      </c>
      <c r="W7" t="str">
        <v>タイガー</v>
      </c>
      <c r="X7">
        <v>50</v>
      </c>
      <c r="Y7" s="10">
        <v>10</v>
      </c>
      <c r="Z7" s="10">
        <v>294.75454545454545</v>
      </c>
      <c r="AA7">
        <v>229.75454545454545</v>
      </c>
    </row>
    <row r="8" spans="1:27" ht="15.75" customHeight="1">
      <c r="A8" s="1" t="s">
        <v>22</v>
      </c>
      <c r="B8" s="7">
        <v>0.2</v>
      </c>
      <c r="C8" s="2">
        <v>0.12</v>
      </c>
      <c r="D8" s="2">
        <v>175</v>
      </c>
      <c r="E8" s="2">
        <v>0.62</v>
      </c>
      <c r="F8" s="4">
        <v>96</v>
      </c>
      <c r="G8" t="s">
        <v>15</v>
      </c>
      <c r="H8" s="4">
        <v>50</v>
      </c>
      <c r="I8" s="4">
        <v>5</v>
      </c>
      <c r="J8" s="4">
        <f t="shared" si="1"/>
        <v>232.13636363636363</v>
      </c>
      <c r="K8" s="10">
        <f t="shared" si="2"/>
        <v>144.63636363636363</v>
      </c>
      <c r="L8">
        <v>1</v>
      </c>
      <c r="M8" s="12" t="str">
        <f t="shared" si="0"/>
        <v>"Boaster": CharacterStats("Boaster",0.2,0.12,175,0.62,96,"スモーカー",50,5),</v>
      </c>
      <c r="Q8" t="str">
        <v>Katarina</v>
      </c>
      <c r="R8" s="11">
        <v>0.41</v>
      </c>
      <c r="S8" s="11">
        <v>0.18</v>
      </c>
      <c r="T8" s="10">
        <v>86</v>
      </c>
      <c r="U8" s="11">
        <v>0.81</v>
      </c>
      <c r="V8" s="10">
        <v>170</v>
      </c>
      <c r="W8" t="str">
        <v>タイガー</v>
      </c>
      <c r="X8">
        <v>110</v>
      </c>
      <c r="Y8" s="10">
        <v>10</v>
      </c>
      <c r="Z8" s="10">
        <v>283.47272727272724</v>
      </c>
      <c r="AA8">
        <v>240.47272727272724</v>
      </c>
    </row>
    <row r="9" spans="1:27" ht="15.75" customHeight="1">
      <c r="A9" s="1" t="s">
        <v>23</v>
      </c>
      <c r="B9" s="6">
        <v>0.4</v>
      </c>
      <c r="C9" s="2">
        <v>0.24</v>
      </c>
      <c r="D9" s="2">
        <v>90</v>
      </c>
      <c r="E9" s="2">
        <v>0.87</v>
      </c>
      <c r="F9" s="4">
        <v>120</v>
      </c>
      <c r="G9" t="s">
        <v>17</v>
      </c>
      <c r="H9" s="4">
        <v>130</v>
      </c>
      <c r="I9" s="4">
        <v>10</v>
      </c>
      <c r="J9" s="4">
        <f t="shared" si="1"/>
        <v>279.44545454545454</v>
      </c>
      <c r="K9" s="10">
        <f t="shared" si="2"/>
        <v>234.44545454545451</v>
      </c>
      <c r="L9">
        <v>1</v>
      </c>
      <c r="M9" s="12" t="str">
        <f t="shared" si="0"/>
        <v>"Aspas": CharacterStats("Aspas",0.4,0.24,90,0.87,120,"タイガー",130,10),</v>
      </c>
      <c r="Q9" t="str">
        <v>SereNa</v>
      </c>
      <c r="R9" s="11">
        <v>0.28999999999999998</v>
      </c>
      <c r="S9" s="11">
        <v>0.19</v>
      </c>
      <c r="T9" s="10">
        <v>119</v>
      </c>
      <c r="U9" s="11">
        <v>0.9</v>
      </c>
      <c r="V9" s="10">
        <v>139</v>
      </c>
      <c r="W9" t="str">
        <v>タイガー</v>
      </c>
      <c r="X9">
        <v>120</v>
      </c>
      <c r="Y9" s="10">
        <v>10</v>
      </c>
      <c r="Z9" s="10">
        <v>283.68181818181819</v>
      </c>
      <c r="AA9">
        <v>224.18181818181819</v>
      </c>
    </row>
    <row r="10" spans="1:27" ht="15.75" customHeight="1">
      <c r="A10" s="1" t="s">
        <v>24</v>
      </c>
      <c r="B10" s="6">
        <v>0.27</v>
      </c>
      <c r="C10" s="2">
        <v>0.14000000000000001</v>
      </c>
      <c r="D10" s="2">
        <v>125</v>
      </c>
      <c r="E10" s="2">
        <v>0.69</v>
      </c>
      <c r="F10" s="4">
        <v>95</v>
      </c>
      <c r="G10" t="s">
        <v>15</v>
      </c>
      <c r="H10" s="4">
        <v>50</v>
      </c>
      <c r="I10" s="4">
        <v>3</v>
      </c>
      <c r="J10" s="4">
        <f t="shared" si="1"/>
        <v>228.28181818181818</v>
      </c>
      <c r="K10" s="10">
        <f t="shared" si="2"/>
        <v>165.78181818181818</v>
      </c>
      <c r="L10">
        <v>1</v>
      </c>
      <c r="M10" s="12" t="str">
        <f t="shared" si="0"/>
        <v>"F0rsakeN": CharacterStats("F0rsakeN",0.27,0.14,125,0.69,95,"スモーカー",50,3),</v>
      </c>
      <c r="Q10" t="str">
        <v>Wo0t</v>
      </c>
      <c r="R10" s="11">
        <v>0.4</v>
      </c>
      <c r="S10" s="11">
        <v>0.16</v>
      </c>
      <c r="T10" s="10">
        <v>78</v>
      </c>
      <c r="U10" s="11">
        <v>0.75</v>
      </c>
      <c r="V10" s="10">
        <v>120</v>
      </c>
      <c r="W10" t="str">
        <v>タイガー</v>
      </c>
      <c r="X10">
        <v>75</v>
      </c>
      <c r="Y10" s="10">
        <v>9</v>
      </c>
      <c r="Z10" s="10">
        <v>244.24545454545452</v>
      </c>
      <c r="AA10">
        <v>205.24545454545452</v>
      </c>
    </row>
    <row r="11" spans="1:27" ht="15.75" customHeight="1">
      <c r="A11" s="1" t="s">
        <v>25</v>
      </c>
      <c r="B11" s="6">
        <v>0.3</v>
      </c>
      <c r="C11" s="2">
        <v>0.26</v>
      </c>
      <c r="D11" s="2">
        <v>68</v>
      </c>
      <c r="E11" s="2">
        <v>0.71</v>
      </c>
      <c r="F11" s="4">
        <v>90</v>
      </c>
      <c r="G11" t="s">
        <v>17</v>
      </c>
      <c r="H11" s="4">
        <v>50</v>
      </c>
      <c r="I11" s="4">
        <v>4</v>
      </c>
      <c r="J11" s="4">
        <f t="shared" si="1"/>
        <v>224.40909090909091</v>
      </c>
      <c r="K11" s="10">
        <f t="shared" si="2"/>
        <v>190.40909090909091</v>
      </c>
      <c r="L11">
        <v>1</v>
      </c>
      <c r="M11" s="12" t="str">
        <f t="shared" si="0"/>
        <v>"Jinggg": CharacterStats("Jinggg",0.3,0.26,68,0.71,90,"タイガー",50,4),</v>
      </c>
      <c r="Q11" t="str">
        <v>ZMJKK</v>
      </c>
      <c r="R11" s="11">
        <v>0.3</v>
      </c>
      <c r="S11" s="11">
        <v>0.17</v>
      </c>
      <c r="T11" s="10">
        <v>65</v>
      </c>
      <c r="U11" s="11">
        <v>0.71</v>
      </c>
      <c r="V11" s="10">
        <v>150</v>
      </c>
      <c r="W11" t="str">
        <v>タイガー</v>
      </c>
      <c r="X11">
        <v>90</v>
      </c>
      <c r="Y11" s="10">
        <v>9</v>
      </c>
      <c r="Z11" s="10">
        <v>234.88181818181818</v>
      </c>
      <c r="AA11">
        <v>202.38181818181818</v>
      </c>
    </row>
    <row r="12" spans="1:27" ht="15.75" customHeight="1">
      <c r="A12" s="1" t="s">
        <v>26</v>
      </c>
      <c r="B12" s="7">
        <v>0.35</v>
      </c>
      <c r="C12" s="2">
        <v>0.17</v>
      </c>
      <c r="D12" s="2">
        <v>70</v>
      </c>
      <c r="E12" s="2">
        <v>0.71</v>
      </c>
      <c r="F12" s="4">
        <v>105</v>
      </c>
      <c r="G12" t="s">
        <v>19</v>
      </c>
      <c r="H12" s="4">
        <v>40</v>
      </c>
      <c r="I12" s="4">
        <v>5</v>
      </c>
      <c r="J12" s="4">
        <f t="shared" si="1"/>
        <v>223.42727272727271</v>
      </c>
      <c r="K12" s="10">
        <f t="shared" si="2"/>
        <v>188.42727272727271</v>
      </c>
      <c r="L12">
        <v>1</v>
      </c>
      <c r="M12" s="12" t="str">
        <f t="shared" si="0"/>
        <v>"d4v41": CharacterStats("d4v41",0.35,0.17,70,0.71,105,"シーカー",40,5),</v>
      </c>
      <c r="Q12" t="str">
        <v>TenZ</v>
      </c>
      <c r="R12" s="11">
        <v>0.38</v>
      </c>
      <c r="S12" s="11">
        <v>0.23</v>
      </c>
      <c r="T12" s="10">
        <v>105</v>
      </c>
      <c r="U12" s="11">
        <v>0.76</v>
      </c>
      <c r="V12" s="10">
        <v>120</v>
      </c>
      <c r="W12" t="str">
        <v>スモーカー</v>
      </c>
      <c r="X12">
        <v>170</v>
      </c>
      <c r="Y12" s="10">
        <v>9</v>
      </c>
      <c r="Z12" s="10">
        <v>268.34545454545457</v>
      </c>
      <c r="AA12">
        <v>215.84545454545454</v>
      </c>
    </row>
    <row r="13" spans="1:27" ht="15.75" customHeight="1">
      <c r="A13" s="1" t="s">
        <v>27</v>
      </c>
      <c r="B13" s="6">
        <v>0.4</v>
      </c>
      <c r="C13" s="2">
        <v>0.19</v>
      </c>
      <c r="D13" s="2">
        <v>67</v>
      </c>
      <c r="E13" s="2">
        <v>0.73</v>
      </c>
      <c r="F13" s="4">
        <v>105</v>
      </c>
      <c r="G13" t="s">
        <v>13</v>
      </c>
      <c r="H13" s="4">
        <v>60</v>
      </c>
      <c r="I13" s="4">
        <v>6</v>
      </c>
      <c r="J13" s="4">
        <f t="shared" si="1"/>
        <v>234.42727272727271</v>
      </c>
      <c r="K13" s="10">
        <f t="shared" si="2"/>
        <v>200.92727272727271</v>
      </c>
      <c r="L13">
        <v>1</v>
      </c>
      <c r="M13" s="12" t="str">
        <f t="shared" si="0"/>
        <v>"Sato": CharacterStats("Sato",0.4,0.19,67,0.73,105,"フラッシュ",60,6),</v>
      </c>
      <c r="Q13" t="str">
        <v>Rossy</v>
      </c>
      <c r="R13" s="11">
        <v>0.31</v>
      </c>
      <c r="S13" s="11">
        <v>0.18</v>
      </c>
      <c r="T13" s="10">
        <v>89</v>
      </c>
      <c r="U13" s="11">
        <v>0.7</v>
      </c>
      <c r="V13" s="10">
        <v>100</v>
      </c>
      <c r="W13" t="str">
        <v>シーカー</v>
      </c>
      <c r="X13">
        <v>50</v>
      </c>
      <c r="Y13" s="10">
        <v>9</v>
      </c>
      <c r="Z13" s="10">
        <v>225.85454545454542</v>
      </c>
      <c r="AA13">
        <v>181.35454545454542</v>
      </c>
    </row>
    <row r="14" spans="1:27" ht="15.75" customHeight="1">
      <c r="A14" s="1" t="s">
        <v>28</v>
      </c>
      <c r="B14" s="6">
        <v>0.28000000000000003</v>
      </c>
      <c r="C14" s="2">
        <v>0.31</v>
      </c>
      <c r="D14" s="2">
        <v>93</v>
      </c>
      <c r="E14" s="1">
        <v>0.67</v>
      </c>
      <c r="F14" s="4">
        <v>135</v>
      </c>
      <c r="G14" t="s">
        <v>17</v>
      </c>
      <c r="H14" s="4">
        <v>75</v>
      </c>
      <c r="I14" s="4">
        <v>8</v>
      </c>
      <c r="J14" s="4">
        <f t="shared" si="1"/>
        <v>258.06363636363636</v>
      </c>
      <c r="K14" s="10">
        <f t="shared" si="2"/>
        <v>211.56363636363636</v>
      </c>
      <c r="L14">
        <v>1</v>
      </c>
      <c r="M14" s="12" t="str">
        <f t="shared" si="0"/>
        <v>"jawgemo": CharacterStats("jawgemo",0.28,0.31,93,0.67,135,"タイガー",75,8),</v>
      </c>
      <c r="Q14" t="str">
        <v>CHICHOO</v>
      </c>
      <c r="R14" s="11">
        <v>0.32</v>
      </c>
      <c r="S14" s="11">
        <v>0.18</v>
      </c>
      <c r="T14" s="10">
        <v>80</v>
      </c>
      <c r="U14" s="11">
        <v>0.74</v>
      </c>
      <c r="V14" s="10">
        <v>100</v>
      </c>
      <c r="W14" t="str">
        <v>スモーカー</v>
      </c>
      <c r="X14">
        <v>50</v>
      </c>
      <c r="Y14" s="10">
        <v>9</v>
      </c>
      <c r="Z14" s="10">
        <v>227.85454545454547</v>
      </c>
      <c r="AA14">
        <v>187.85454545454547</v>
      </c>
    </row>
    <row r="15" spans="1:27" ht="15.75" customHeight="1">
      <c r="A15" s="1" t="s">
        <v>29</v>
      </c>
      <c r="B15" s="6">
        <v>0.26</v>
      </c>
      <c r="C15" s="2">
        <v>0.13</v>
      </c>
      <c r="D15" s="2">
        <v>140</v>
      </c>
      <c r="E15" s="1">
        <v>0.64</v>
      </c>
      <c r="F15" s="4">
        <v>95</v>
      </c>
      <c r="G15" t="s">
        <v>15</v>
      </c>
      <c r="H15" s="4">
        <v>40</v>
      </c>
      <c r="I15" s="4">
        <v>5</v>
      </c>
      <c r="J15" s="4">
        <f t="shared" si="1"/>
        <v>226.28181818181821</v>
      </c>
      <c r="K15" s="10">
        <f t="shared" si="2"/>
        <v>156.28181818181818</v>
      </c>
      <c r="L15">
        <v>1</v>
      </c>
      <c r="M15" s="12" t="str">
        <f t="shared" si="0"/>
        <v>"valyn": CharacterStats("valyn",0.26,0.13,140,0.64,95,"スモーカー",40,5),</v>
      </c>
      <c r="Q15" t="str">
        <v>nAts</v>
      </c>
      <c r="R15" s="11">
        <v>0.28999999999999998</v>
      </c>
      <c r="S15" s="11">
        <v>0.18</v>
      </c>
      <c r="T15" s="10">
        <v>125</v>
      </c>
      <c r="U15" s="11">
        <v>0.71</v>
      </c>
      <c r="V15" s="10">
        <v>88</v>
      </c>
      <c r="W15" t="str">
        <v>スモーカー</v>
      </c>
      <c r="X15">
        <v>50</v>
      </c>
      <c r="Y15" s="10">
        <v>9</v>
      </c>
      <c r="Z15" s="10">
        <v>237.10000000000002</v>
      </c>
      <c r="AA15">
        <v>174.6</v>
      </c>
    </row>
    <row r="16" spans="1:27" ht="15.75" customHeight="1">
      <c r="A16" s="1" t="s">
        <v>30</v>
      </c>
      <c r="B16" s="7">
        <v>0.3</v>
      </c>
      <c r="C16" s="2">
        <v>0.18</v>
      </c>
      <c r="D16" s="2">
        <v>150</v>
      </c>
      <c r="E16" s="2">
        <v>0.8</v>
      </c>
      <c r="F16" s="4">
        <v>90</v>
      </c>
      <c r="G16" t="s">
        <v>19</v>
      </c>
      <c r="H16" s="4">
        <v>55</v>
      </c>
      <c r="I16" s="4">
        <v>4</v>
      </c>
      <c r="J16" s="4">
        <f t="shared" si="1"/>
        <v>263.5090909090909</v>
      </c>
      <c r="K16" s="10">
        <f t="shared" si="2"/>
        <v>188.50909090909093</v>
      </c>
      <c r="L16">
        <v>1</v>
      </c>
      <c r="M16" s="12" t="str">
        <f t="shared" si="0"/>
        <v>"Ethan": CharacterStats("Ethan",0.3,0.18,150,0.8,90,"シーカー",55,4),</v>
      </c>
      <c r="Q16" t="str">
        <v>C0M</v>
      </c>
      <c r="R16" s="11">
        <v>0.28000000000000003</v>
      </c>
      <c r="S16" s="11">
        <v>0.16</v>
      </c>
      <c r="T16" s="10">
        <v>120</v>
      </c>
      <c r="U16" s="11">
        <v>0.69</v>
      </c>
      <c r="V16" s="10">
        <v>95</v>
      </c>
      <c r="W16" t="str">
        <v>シーカー</v>
      </c>
      <c r="X16">
        <v>60</v>
      </c>
      <c r="Y16" s="10">
        <v>9</v>
      </c>
      <c r="Z16" s="10">
        <v>230.4818181818182</v>
      </c>
      <c r="AA16">
        <v>170.48181818181817</v>
      </c>
    </row>
    <row r="17" spans="1:27" ht="15.75" customHeight="1">
      <c r="A17" s="1" t="s">
        <v>31</v>
      </c>
      <c r="B17" s="6">
        <v>0.4</v>
      </c>
      <c r="C17" s="2">
        <v>0.16</v>
      </c>
      <c r="D17" s="2">
        <v>78</v>
      </c>
      <c r="E17" s="2">
        <v>0.75</v>
      </c>
      <c r="F17" s="4">
        <v>120</v>
      </c>
      <c r="G17" t="s">
        <v>17</v>
      </c>
      <c r="H17" s="4">
        <v>75</v>
      </c>
      <c r="I17" s="4">
        <v>9</v>
      </c>
      <c r="J17" s="4">
        <f t="shared" si="1"/>
        <v>244.24545454545452</v>
      </c>
      <c r="K17" s="10">
        <f t="shared" si="2"/>
        <v>205.24545454545452</v>
      </c>
      <c r="L17">
        <v>1</v>
      </c>
      <c r="M17" s="12" t="str">
        <f t="shared" si="0"/>
        <v>"Wo0t": CharacterStats("Wo0t",0.4,0.16,78,0.75,120,"タイガー",75,9),</v>
      </c>
      <c r="Q17" t="str">
        <v>WsLeo</v>
      </c>
      <c r="R17" s="11">
        <v>0.36</v>
      </c>
      <c r="S17" s="11">
        <v>0.21</v>
      </c>
      <c r="T17" s="10">
        <v>130</v>
      </c>
      <c r="U17" s="11">
        <v>0.78</v>
      </c>
      <c r="V17" s="10">
        <v>80</v>
      </c>
      <c r="W17" t="str">
        <v>シーカー</v>
      </c>
      <c r="X17">
        <v>50</v>
      </c>
      <c r="Y17" s="10">
        <v>9</v>
      </c>
      <c r="Z17" s="10">
        <v>259.26363636363635</v>
      </c>
      <c r="AA17">
        <v>194.26363636363635</v>
      </c>
    </row>
    <row r="18" spans="1:27" ht="15.75" customHeight="1">
      <c r="A18" s="1" t="s">
        <v>32</v>
      </c>
      <c r="B18" s="6">
        <v>0.35</v>
      </c>
      <c r="C18" s="2">
        <v>0.2</v>
      </c>
      <c r="D18" s="2">
        <v>115</v>
      </c>
      <c r="E18" s="2">
        <v>0.76</v>
      </c>
      <c r="F18" s="4">
        <v>100</v>
      </c>
      <c r="G18" t="s">
        <v>13</v>
      </c>
      <c r="H18" s="4">
        <v>70</v>
      </c>
      <c r="I18" s="4">
        <v>7</v>
      </c>
      <c r="J18" s="4">
        <f t="shared" si="1"/>
        <v>255.25454545454545</v>
      </c>
      <c r="K18" s="10">
        <f t="shared" si="2"/>
        <v>197.75454545454545</v>
      </c>
      <c r="L18">
        <v>1</v>
      </c>
      <c r="M18" s="12" t="str">
        <f t="shared" si="0"/>
        <v>"kaajak": CharacterStats("kaajak",0.35,0.2,115,0.76,100,"フラッシュ",70,7),</v>
      </c>
      <c r="Q18" t="str">
        <v>Zest</v>
      </c>
      <c r="R18" s="11">
        <v>0.5</v>
      </c>
      <c r="S18" s="11">
        <v>0.25</v>
      </c>
      <c r="T18" s="10">
        <v>75</v>
      </c>
      <c r="U18" s="11">
        <v>0.76</v>
      </c>
      <c r="V18" s="10">
        <v>121</v>
      </c>
      <c r="W18" t="str">
        <v>シーカー</v>
      </c>
      <c r="X18">
        <v>100</v>
      </c>
      <c r="Y18" s="10">
        <v>9</v>
      </c>
      <c r="Z18" s="10">
        <v>272.8</v>
      </c>
      <c r="AA18">
        <v>235.3</v>
      </c>
    </row>
    <row r="19" spans="1:27" ht="15.75" customHeight="1">
      <c r="A19" s="1" t="s">
        <v>33</v>
      </c>
      <c r="B19" s="6">
        <v>0.35</v>
      </c>
      <c r="C19" s="2">
        <v>0.22</v>
      </c>
      <c r="D19" s="1">
        <v>70</v>
      </c>
      <c r="E19" s="2">
        <v>0.73</v>
      </c>
      <c r="F19" s="4">
        <v>110</v>
      </c>
      <c r="G19" t="s">
        <v>17</v>
      </c>
      <c r="H19" s="4">
        <v>90</v>
      </c>
      <c r="I19" s="4">
        <v>7</v>
      </c>
      <c r="J19" s="4">
        <f t="shared" si="1"/>
        <v>236.8</v>
      </c>
      <c r="K19" s="10">
        <f t="shared" si="2"/>
        <v>201.8</v>
      </c>
      <c r="L19">
        <v>1</v>
      </c>
      <c r="M19" s="12" t="str">
        <f t="shared" si="0"/>
        <v>"Meiy": CharacterStats("Meiy",0.35,0.22,70,0.73,110,"タイガー",90,7),</v>
      </c>
      <c r="Q19" t="str">
        <v>Derke</v>
      </c>
      <c r="R19" s="11">
        <v>0.35</v>
      </c>
      <c r="S19" s="11">
        <v>0.24</v>
      </c>
      <c r="T19" s="10">
        <v>90</v>
      </c>
      <c r="U19" s="11">
        <v>0.75</v>
      </c>
      <c r="V19" s="10">
        <v>115</v>
      </c>
      <c r="W19" t="str">
        <v>フラッシュ</v>
      </c>
      <c r="X19">
        <v>90</v>
      </c>
      <c r="Y19" s="10">
        <v>8</v>
      </c>
      <c r="Z19" s="10">
        <v>255.07272727272726</v>
      </c>
      <c r="AA19">
        <v>210.07272727272726</v>
      </c>
    </row>
    <row r="20" spans="1:27" ht="15.75" customHeight="1">
      <c r="A20" s="1" t="s">
        <v>34</v>
      </c>
      <c r="B20" s="6">
        <v>0.35</v>
      </c>
      <c r="C20" s="2">
        <v>0.16</v>
      </c>
      <c r="D20" s="2">
        <v>86</v>
      </c>
      <c r="E20" s="2">
        <v>0.7</v>
      </c>
      <c r="F20" s="4">
        <v>95</v>
      </c>
      <c r="G20" t="s">
        <v>19</v>
      </c>
      <c r="H20" s="4">
        <v>80</v>
      </c>
      <c r="I20" s="4">
        <v>7</v>
      </c>
      <c r="J20" s="4">
        <f t="shared" si="1"/>
        <v>223.88181818181818</v>
      </c>
      <c r="K20" s="10">
        <f t="shared" si="2"/>
        <v>180.88181818181818</v>
      </c>
      <c r="L20">
        <v>1</v>
      </c>
      <c r="M20" s="12" t="str">
        <f t="shared" si="0"/>
        <v>"Verno": CharacterStats("Verno",0.35,0.16,86,0.7,95,"シーカー",80,7),</v>
      </c>
      <c r="Q20" t="str">
        <v>jawgemo</v>
      </c>
      <c r="R20" s="11">
        <v>0.28000000000000003</v>
      </c>
      <c r="S20" s="11">
        <v>0.31</v>
      </c>
      <c r="T20" s="10">
        <v>93</v>
      </c>
      <c r="U20" s="11">
        <v>0.67</v>
      </c>
      <c r="V20" s="10">
        <v>135</v>
      </c>
      <c r="W20" t="str">
        <v>タイガー</v>
      </c>
      <c r="X20">
        <v>75</v>
      </c>
      <c r="Y20" s="10">
        <v>8</v>
      </c>
      <c r="Z20" s="10">
        <v>258.06363636363636</v>
      </c>
      <c r="AA20">
        <v>211.56363636363636</v>
      </c>
    </row>
    <row r="21" spans="1:27" ht="15.75" customHeight="1">
      <c r="A21" s="1" t="s">
        <v>35</v>
      </c>
      <c r="B21" s="7">
        <v>0.33</v>
      </c>
      <c r="C21" s="2">
        <v>0.19</v>
      </c>
      <c r="D21" s="2">
        <v>95</v>
      </c>
      <c r="E21" s="2">
        <v>0.7</v>
      </c>
      <c r="F21" s="4">
        <v>90</v>
      </c>
      <c r="G21" t="s">
        <v>19</v>
      </c>
      <c r="H21" s="4">
        <v>80</v>
      </c>
      <c r="I21" s="4">
        <v>5</v>
      </c>
      <c r="J21" s="4">
        <f t="shared" si="1"/>
        <v>228.6090909090909</v>
      </c>
      <c r="K21" s="10">
        <f t="shared" si="2"/>
        <v>181.1090909090909</v>
      </c>
      <c r="L21">
        <v>1</v>
      </c>
      <c r="M21" s="12" t="str">
        <f t="shared" si="0"/>
        <v>"Sayonara": CharacterStats("Sayonara",0.33,0.19,95,0.7,90,"シーカー",80,5),</v>
      </c>
      <c r="Q21" t="str">
        <v>Meteor</v>
      </c>
      <c r="R21" s="11">
        <v>0.37</v>
      </c>
      <c r="S21" s="11">
        <v>0.28999999999999998</v>
      </c>
      <c r="T21" s="10">
        <v>73</v>
      </c>
      <c r="U21" s="11">
        <v>0.78</v>
      </c>
      <c r="V21" s="10">
        <v>95</v>
      </c>
      <c r="W21" t="str">
        <v>フラッシュ</v>
      </c>
      <c r="X21">
        <v>75</v>
      </c>
      <c r="Y21" s="10">
        <v>8</v>
      </c>
      <c r="Z21" s="10">
        <v>252.4818181818182</v>
      </c>
      <c r="AA21">
        <v>215.9818181818182</v>
      </c>
    </row>
    <row r="22" spans="1:27" ht="15.75" customHeight="1">
      <c r="A22" s="1" t="s">
        <v>36</v>
      </c>
      <c r="B22" s="6">
        <v>0.27</v>
      </c>
      <c r="C22" s="2">
        <v>0.15</v>
      </c>
      <c r="D22" s="2">
        <v>125</v>
      </c>
      <c r="E22" s="2">
        <v>0.68</v>
      </c>
      <c r="F22" s="4">
        <v>85</v>
      </c>
      <c r="G22" t="s">
        <v>13</v>
      </c>
      <c r="H22" s="4">
        <v>55</v>
      </c>
      <c r="I22" s="4">
        <v>3</v>
      </c>
      <c r="J22" s="4">
        <f t="shared" si="1"/>
        <v>224.13636363636363</v>
      </c>
      <c r="K22" s="10">
        <f t="shared" si="2"/>
        <v>161.63636363636363</v>
      </c>
      <c r="L22">
        <v>1</v>
      </c>
      <c r="M22" s="12" t="str">
        <f t="shared" si="0"/>
        <v>"Jamppi": CharacterStats("Jamppi",0.27,0.15,125,0.68,85,"フラッシュ",55,3),</v>
      </c>
      <c r="Q22" t="str">
        <v>keiko</v>
      </c>
      <c r="R22" s="11">
        <v>0.31</v>
      </c>
      <c r="S22" s="11">
        <v>0.19</v>
      </c>
      <c r="T22" s="10">
        <v>89</v>
      </c>
      <c r="U22" s="11">
        <v>0.72</v>
      </c>
      <c r="V22" s="10">
        <v>90</v>
      </c>
      <c r="W22" t="str">
        <v>スモーカー</v>
      </c>
      <c r="X22">
        <v>70</v>
      </c>
      <c r="Y22" s="10">
        <v>8</v>
      </c>
      <c r="Z22" s="10">
        <v>225.6090909090909</v>
      </c>
      <c r="AA22">
        <v>181.1090909090909</v>
      </c>
    </row>
    <row r="23" spans="1:27" ht="15.75" customHeight="1">
      <c r="A23" s="1" t="s">
        <v>37</v>
      </c>
      <c r="B23" s="7">
        <v>0.28000000000000003</v>
      </c>
      <c r="C23" s="2">
        <v>0.15</v>
      </c>
      <c r="D23" s="2">
        <v>128</v>
      </c>
      <c r="E23" s="1">
        <v>0.68</v>
      </c>
      <c r="F23" s="4">
        <v>85</v>
      </c>
      <c r="G23" t="s">
        <v>15</v>
      </c>
      <c r="H23" s="4">
        <v>70</v>
      </c>
      <c r="I23" s="4">
        <v>6</v>
      </c>
      <c r="J23" s="4">
        <f t="shared" si="1"/>
        <v>226.93636363636364</v>
      </c>
      <c r="K23" s="10">
        <f t="shared" si="2"/>
        <v>162.93636363636364</v>
      </c>
      <c r="L23">
        <v>1</v>
      </c>
      <c r="M23" s="12" t="str">
        <f t="shared" si="0"/>
        <v>"Boostio": CharacterStats("Boostio",0.28,0.15,128,0.68,85,"スモーカー",70,6),</v>
      </c>
      <c r="Q23" t="str">
        <v>Zekken</v>
      </c>
      <c r="R23" s="11">
        <v>0.35</v>
      </c>
      <c r="S23" s="11">
        <v>0.25</v>
      </c>
      <c r="T23" s="10">
        <v>85</v>
      </c>
      <c r="U23" s="11">
        <v>0.7</v>
      </c>
      <c r="V23" s="10">
        <v>105</v>
      </c>
      <c r="W23" t="str">
        <v>フラッシュ</v>
      </c>
      <c r="X23">
        <v>100</v>
      </c>
      <c r="Y23" s="10">
        <v>8</v>
      </c>
      <c r="Z23" s="10">
        <v>243.22727272727272</v>
      </c>
      <c r="AA23">
        <v>200.72727272727272</v>
      </c>
    </row>
    <row r="24" spans="1:27" ht="15.75" customHeight="1">
      <c r="A24" s="1" t="s">
        <v>38</v>
      </c>
      <c r="B24" s="6">
        <v>0.47</v>
      </c>
      <c r="C24" s="2">
        <v>0.24</v>
      </c>
      <c r="D24" s="2">
        <v>59</v>
      </c>
      <c r="E24" s="1">
        <v>0.79</v>
      </c>
      <c r="F24" s="4">
        <v>98</v>
      </c>
      <c r="G24" t="s">
        <v>17</v>
      </c>
      <c r="H24" s="4">
        <v>90</v>
      </c>
      <c r="I24" s="4">
        <v>5</v>
      </c>
      <c r="J24" s="4">
        <f t="shared" si="1"/>
        <v>252.64545454545453</v>
      </c>
      <c r="K24" s="10">
        <f t="shared" si="2"/>
        <v>223.14545454545456</v>
      </c>
      <c r="L24">
        <v>1</v>
      </c>
      <c r="M24" s="12" t="str">
        <f t="shared" si="0"/>
        <v>"Primmie": CharacterStats("Primmie",0.47,0.24,59,0.79,98,"タイガー",90,5),</v>
      </c>
      <c r="Q24" t="str">
        <v>Smoggy</v>
      </c>
      <c r="R24" s="11">
        <v>0.38</v>
      </c>
      <c r="S24" s="11">
        <v>0.19</v>
      </c>
      <c r="T24" s="10">
        <v>75</v>
      </c>
      <c r="U24" s="11">
        <v>0.73</v>
      </c>
      <c r="V24" s="10">
        <v>120</v>
      </c>
      <c r="W24" t="str">
        <v>スモーカー</v>
      </c>
      <c r="X24">
        <v>50</v>
      </c>
      <c r="Y24" s="10">
        <v>8</v>
      </c>
      <c r="Z24" s="10">
        <v>242.64545454545453</v>
      </c>
      <c r="AA24">
        <v>205.14545454545453</v>
      </c>
    </row>
    <row r="25" spans="1:27" ht="15.75" customHeight="1">
      <c r="A25" s="3" t="s">
        <v>39</v>
      </c>
      <c r="B25" s="8">
        <v>0.23</v>
      </c>
      <c r="C25" s="3">
        <v>0.39</v>
      </c>
      <c r="D25" s="3">
        <v>123</v>
      </c>
      <c r="E25" s="3">
        <v>0.9</v>
      </c>
      <c r="F25" s="4">
        <v>156</v>
      </c>
      <c r="G25" t="s">
        <v>17</v>
      </c>
      <c r="H25" s="4">
        <v>50</v>
      </c>
      <c r="I25" s="4">
        <v>10</v>
      </c>
      <c r="J25" s="4">
        <f t="shared" si="1"/>
        <v>319.60909090909092</v>
      </c>
      <c r="K25" s="10">
        <f t="shared" si="2"/>
        <v>258.10909090909092</v>
      </c>
      <c r="L25">
        <v>0</v>
      </c>
      <c r="M25" s="12" t="str">
        <f t="shared" si="0"/>
        <v>"Tortlilyan": CharacterStats("Tortlilyan",0.23,0.39,123,0.9,156,"タイガー",50,10),</v>
      </c>
      <c r="Q25" t="str">
        <v>Nanasaki</v>
      </c>
      <c r="R25" s="11">
        <v>0.5</v>
      </c>
      <c r="S25" s="11">
        <v>0.2</v>
      </c>
      <c r="T25" s="10">
        <v>120</v>
      </c>
      <c r="U25" s="11">
        <v>0.65</v>
      </c>
      <c r="V25" s="10">
        <v>80</v>
      </c>
      <c r="W25" t="str">
        <v>スモーカー</v>
      </c>
      <c r="X25">
        <v>70</v>
      </c>
      <c r="Y25" s="10">
        <v>8</v>
      </c>
      <c r="Z25" s="10">
        <v>253.86363636363637</v>
      </c>
      <c r="AA25">
        <v>193.86363636363637</v>
      </c>
    </row>
    <row r="26" spans="1:27" ht="15.75" customHeight="1">
      <c r="A26" s="3" t="s">
        <v>40</v>
      </c>
      <c r="B26" s="8">
        <v>0.75</v>
      </c>
      <c r="C26" s="3">
        <v>0.21</v>
      </c>
      <c r="D26" s="3">
        <v>90</v>
      </c>
      <c r="E26" s="3">
        <v>0.8</v>
      </c>
      <c r="F26" s="4">
        <v>140</v>
      </c>
      <c r="G26" t="s">
        <v>19</v>
      </c>
      <c r="H26" s="4">
        <v>50</v>
      </c>
      <c r="I26" s="4">
        <v>1</v>
      </c>
      <c r="J26" s="4">
        <f t="shared" si="1"/>
        <v>319.83636363636361</v>
      </c>
      <c r="K26" s="10">
        <f t="shared" si="2"/>
        <v>274.83636363636361</v>
      </c>
      <c r="L26">
        <v>0</v>
      </c>
      <c r="M26" s="12" t="str">
        <f t="shared" si="0"/>
        <v>"まーやまくん": CharacterStats("まーやまくん",0.75,0.21,90,0.8,140,"シーカー",50,1),</v>
      </c>
      <c r="Q26" t="str">
        <v>WoohyuN</v>
      </c>
      <c r="R26" s="11">
        <v>0.46</v>
      </c>
      <c r="S26" s="11">
        <v>0.2</v>
      </c>
      <c r="T26" s="10">
        <v>85</v>
      </c>
      <c r="U26" s="11">
        <v>0.71</v>
      </c>
      <c r="V26" s="10">
        <v>150</v>
      </c>
      <c r="W26" t="str">
        <v>タイガー</v>
      </c>
      <c r="X26">
        <v>55</v>
      </c>
      <c r="Y26" s="10">
        <v>8</v>
      </c>
      <c r="Z26" s="10">
        <v>270.78181818181821</v>
      </c>
      <c r="AA26">
        <v>228.28181818181821</v>
      </c>
    </row>
    <row r="27" spans="1:27" ht="15.75" customHeight="1">
      <c r="A27" s="3" t="s">
        <v>41</v>
      </c>
      <c r="B27" s="8">
        <v>0.67</v>
      </c>
      <c r="C27" s="3">
        <v>0.67</v>
      </c>
      <c r="D27" s="3">
        <v>67</v>
      </c>
      <c r="E27" s="3">
        <v>0.67</v>
      </c>
      <c r="F27" s="4">
        <v>67</v>
      </c>
      <c r="G27" t="s">
        <v>13</v>
      </c>
      <c r="H27" s="4">
        <v>67</v>
      </c>
      <c r="I27" s="4">
        <v>0</v>
      </c>
      <c r="J27" s="4">
        <f t="shared" si="1"/>
        <v>326.05454545454546</v>
      </c>
      <c r="K27" s="10">
        <f t="shared" si="2"/>
        <v>292.55454545454546</v>
      </c>
      <c r="L27">
        <v>0</v>
      </c>
      <c r="M27" s="12" t="str">
        <f t="shared" si="0"/>
        <v>"おもこ": CharacterStats("おもこ",0.67,0.67,67,0.67,67,"フラッシュ",67,0),</v>
      </c>
      <c r="Q27" t="str">
        <v>mindfreak</v>
      </c>
      <c r="R27" s="11">
        <v>0.3</v>
      </c>
      <c r="S27" s="11">
        <v>0.3</v>
      </c>
      <c r="T27" s="10">
        <v>140</v>
      </c>
      <c r="U27" s="11">
        <v>0.7</v>
      </c>
      <c r="V27" s="10">
        <v>100</v>
      </c>
      <c r="W27" t="str">
        <v>スモーカー</v>
      </c>
      <c r="X27">
        <v>50</v>
      </c>
      <c r="Y27" s="10">
        <v>8</v>
      </c>
      <c r="Z27" s="10">
        <v>270.45454545454544</v>
      </c>
      <c r="AA27">
        <v>200.45454545454544</v>
      </c>
    </row>
    <row r="28" spans="1:27" ht="15.75" customHeight="1">
      <c r="A28" s="3" t="s">
        <v>42</v>
      </c>
      <c r="B28" s="8">
        <v>0.37</v>
      </c>
      <c r="C28" s="3">
        <v>0.28999999999999998</v>
      </c>
      <c r="D28" s="3">
        <v>73</v>
      </c>
      <c r="E28" s="3">
        <v>0.78</v>
      </c>
      <c r="F28" s="4">
        <v>95</v>
      </c>
      <c r="G28" t="s">
        <v>13</v>
      </c>
      <c r="H28" s="4">
        <v>75</v>
      </c>
      <c r="I28" s="4">
        <v>8</v>
      </c>
      <c r="J28" s="4">
        <f t="shared" si="1"/>
        <v>252.4818181818182</v>
      </c>
      <c r="K28" s="10">
        <f t="shared" si="2"/>
        <v>215.9818181818182</v>
      </c>
      <c r="L28">
        <v>1</v>
      </c>
      <c r="M28" s="12" t="str">
        <f t="shared" si="0"/>
        <v>"Meteor": CharacterStats("Meteor",0.37,0.29,73,0.78,95,"フラッシュ",75,8),</v>
      </c>
      <c r="Q28" t="str">
        <v>something</v>
      </c>
      <c r="R28" s="11">
        <v>0.35</v>
      </c>
      <c r="S28" s="11">
        <v>0.24</v>
      </c>
      <c r="T28" s="10">
        <v>65</v>
      </c>
      <c r="U28" s="11">
        <v>0.88</v>
      </c>
      <c r="V28" s="10">
        <v>165</v>
      </c>
      <c r="W28" t="str">
        <v>タイガー</v>
      </c>
      <c r="X28">
        <v>85</v>
      </c>
      <c r="Y28" s="10">
        <v>7</v>
      </c>
      <c r="Z28" s="10">
        <v>282.2</v>
      </c>
      <c r="AA28">
        <v>249.7</v>
      </c>
    </row>
    <row r="29" spans="1:27" ht="15.75" customHeight="1">
      <c r="A29" s="3" t="s">
        <v>43</v>
      </c>
      <c r="B29" s="8">
        <v>0.4</v>
      </c>
      <c r="C29" s="3">
        <v>0.14000000000000001</v>
      </c>
      <c r="D29" s="3">
        <v>70</v>
      </c>
      <c r="E29" s="3">
        <v>0.75</v>
      </c>
      <c r="F29" s="4">
        <v>86</v>
      </c>
      <c r="G29" t="s">
        <v>13</v>
      </c>
      <c r="H29" s="4">
        <v>80</v>
      </c>
      <c r="I29" s="4">
        <v>6</v>
      </c>
      <c r="J29" s="4">
        <f t="shared" si="1"/>
        <v>221.3909090909091</v>
      </c>
      <c r="K29" s="10">
        <f t="shared" si="2"/>
        <v>186.3909090909091</v>
      </c>
      <c r="L29">
        <v>1</v>
      </c>
      <c r="M29" s="12" t="str">
        <f t="shared" si="0"/>
        <v>"Laz": CharacterStats("Laz",0.4,0.14,70,0.75,86,"フラッシュ",80,6),</v>
      </c>
      <c r="Q29" t="str">
        <v>kaajak</v>
      </c>
      <c r="R29" s="11">
        <v>0.35</v>
      </c>
      <c r="S29" s="11">
        <v>0.2</v>
      </c>
      <c r="T29" s="10">
        <v>115</v>
      </c>
      <c r="U29" s="11">
        <v>0.76</v>
      </c>
      <c r="V29" s="10">
        <v>100</v>
      </c>
      <c r="W29" t="str">
        <v>フラッシュ</v>
      </c>
      <c r="X29">
        <v>70</v>
      </c>
      <c r="Y29" s="10">
        <v>7</v>
      </c>
      <c r="Z29" s="10">
        <v>255.25454545454545</v>
      </c>
      <c r="AA29">
        <v>197.75454545454545</v>
      </c>
    </row>
    <row r="30" spans="1:27" ht="15.75" customHeight="1">
      <c r="A30" s="3" t="s">
        <v>44</v>
      </c>
      <c r="B30" s="8">
        <v>0.3</v>
      </c>
      <c r="C30" s="3">
        <v>0.17</v>
      </c>
      <c r="D30" s="3">
        <v>65</v>
      </c>
      <c r="E30" s="3">
        <v>0.71</v>
      </c>
      <c r="F30" s="4">
        <v>150</v>
      </c>
      <c r="G30" t="s">
        <v>17</v>
      </c>
      <c r="H30" s="4">
        <v>90</v>
      </c>
      <c r="I30" s="4">
        <v>9</v>
      </c>
      <c r="J30" s="4">
        <f t="shared" si="1"/>
        <v>234.88181818181818</v>
      </c>
      <c r="K30" s="10">
        <f t="shared" si="2"/>
        <v>202.38181818181818</v>
      </c>
      <c r="L30">
        <v>1</v>
      </c>
      <c r="M30" s="12" t="str">
        <f t="shared" si="0"/>
        <v>"ZMJKK": CharacterStats("ZMJKK",0.3,0.17,65,0.71,150,"タイガー",90,9),</v>
      </c>
      <c r="Q30" t="str">
        <v>Meiy</v>
      </c>
      <c r="R30" s="11">
        <v>0.35</v>
      </c>
      <c r="S30" s="11">
        <v>0.22</v>
      </c>
      <c r="T30" s="10">
        <v>70</v>
      </c>
      <c r="U30" s="11">
        <v>0.73</v>
      </c>
      <c r="V30" s="10">
        <v>110</v>
      </c>
      <c r="W30" t="str">
        <v>タイガー</v>
      </c>
      <c r="X30">
        <v>90</v>
      </c>
      <c r="Y30" s="10">
        <v>7</v>
      </c>
      <c r="Z30" s="10">
        <v>236.8</v>
      </c>
      <c r="AA30">
        <v>201.8</v>
      </c>
    </row>
    <row r="31" spans="1:27" ht="15.75" customHeight="1">
      <c r="A31" s="3" t="s">
        <v>45</v>
      </c>
      <c r="B31" s="8">
        <v>0.32</v>
      </c>
      <c r="C31" s="3">
        <v>0.15</v>
      </c>
      <c r="D31" s="3">
        <v>90</v>
      </c>
      <c r="E31" s="3">
        <v>0.69</v>
      </c>
      <c r="F31" s="4">
        <v>95</v>
      </c>
      <c r="G31" t="s">
        <v>19</v>
      </c>
      <c r="H31" s="4">
        <v>90</v>
      </c>
      <c r="I31" s="4">
        <v>6</v>
      </c>
      <c r="J31" s="4">
        <f t="shared" si="1"/>
        <v>218.98181818181817</v>
      </c>
      <c r="K31" s="10">
        <f t="shared" si="2"/>
        <v>173.98181818181817</v>
      </c>
      <c r="L31">
        <v>1</v>
      </c>
      <c r="M31" s="12" t="str">
        <f t="shared" si="0"/>
        <v>"Brawk": CharacterStats("Brawk",0.32,0.15,90,0.69,95,"シーカー",90,6),</v>
      </c>
      <c r="Q31" t="str">
        <v>Verno</v>
      </c>
      <c r="R31" s="11">
        <v>0.35</v>
      </c>
      <c r="S31" s="11">
        <v>0.16</v>
      </c>
      <c r="T31" s="10">
        <v>86</v>
      </c>
      <c r="U31" s="11">
        <v>0.7</v>
      </c>
      <c r="V31" s="10">
        <v>95</v>
      </c>
      <c r="W31" t="str">
        <v>シーカー</v>
      </c>
      <c r="X31">
        <v>80</v>
      </c>
      <c r="Y31" s="10">
        <v>7</v>
      </c>
      <c r="Z31" s="10">
        <v>223.88181818181818</v>
      </c>
      <c r="AA31">
        <v>180.88181818181818</v>
      </c>
    </row>
    <row r="32" spans="1:27" ht="15.75" customHeight="1">
      <c r="A32" s="3" t="s">
        <v>46</v>
      </c>
      <c r="B32" s="8">
        <v>0.35</v>
      </c>
      <c r="C32" s="3">
        <v>0.24</v>
      </c>
      <c r="D32" s="3">
        <v>76</v>
      </c>
      <c r="E32" s="3">
        <v>0.75</v>
      </c>
      <c r="F32" s="4">
        <v>110</v>
      </c>
      <c r="G32" t="s">
        <v>13</v>
      </c>
      <c r="H32" s="4">
        <v>70</v>
      </c>
      <c r="I32" s="4">
        <v>5</v>
      </c>
      <c r="J32" s="4">
        <f t="shared" si="1"/>
        <v>245.8</v>
      </c>
      <c r="K32" s="10">
        <f t="shared" si="2"/>
        <v>207.8</v>
      </c>
      <c r="L32">
        <v>1</v>
      </c>
      <c r="M32" s="12" t="str">
        <f t="shared" si="0"/>
        <v>"HYUNMIN": CharacterStats("HYUNMIN",0.35,0.24,76,0.75,110,"フラッシュ",70,5),</v>
      </c>
      <c r="Q32" t="str">
        <v>t3xture</v>
      </c>
      <c r="R32" s="11">
        <v>0.33</v>
      </c>
      <c r="S32" s="11">
        <v>0.19</v>
      </c>
      <c r="T32" s="10">
        <v>93</v>
      </c>
      <c r="U32" s="11">
        <v>0.75</v>
      </c>
      <c r="V32" s="10">
        <v>150</v>
      </c>
      <c r="W32" t="str">
        <v>タイガー</v>
      </c>
      <c r="X32">
        <v>75</v>
      </c>
      <c r="Y32" s="10">
        <v>7</v>
      </c>
      <c r="Z32" s="10">
        <v>261.38181818181818</v>
      </c>
      <c r="AA32">
        <v>214.88181818181818</v>
      </c>
    </row>
    <row r="33" spans="1:27" ht="15.75" customHeight="1">
      <c r="A33" s="3" t="s">
        <v>47</v>
      </c>
      <c r="B33" s="8">
        <v>0.38</v>
      </c>
      <c r="C33" s="3">
        <v>0.22</v>
      </c>
      <c r="D33" s="3">
        <v>79</v>
      </c>
      <c r="E33" s="3">
        <v>0.77</v>
      </c>
      <c r="F33" s="4">
        <v>130</v>
      </c>
      <c r="G33" t="s">
        <v>13</v>
      </c>
      <c r="H33" s="4">
        <v>70</v>
      </c>
      <c r="I33" s="4">
        <v>5</v>
      </c>
      <c r="J33" s="4">
        <f t="shared" si="1"/>
        <v>259.4909090909091</v>
      </c>
      <c r="K33" s="10">
        <f t="shared" si="2"/>
        <v>219.9909090909091</v>
      </c>
      <c r="L33">
        <v>1</v>
      </c>
      <c r="M33" s="12" t="str">
        <f t="shared" si="0"/>
        <v>"Flashback": CharacterStats("Flashback",0.38,0.22,79,0.77,130,"フラッシュ",70,5),</v>
      </c>
      <c r="Q33" t="str">
        <v>tex</v>
      </c>
      <c r="R33" s="11">
        <v>0.35</v>
      </c>
      <c r="S33" s="11">
        <v>0.19</v>
      </c>
      <c r="T33" s="10">
        <v>85</v>
      </c>
      <c r="U33" s="11">
        <v>0.74</v>
      </c>
      <c r="V33" s="10">
        <v>95</v>
      </c>
      <c r="W33" t="str">
        <v>フラッシュ</v>
      </c>
      <c r="X33">
        <v>60</v>
      </c>
      <c r="Y33" s="10">
        <v>7</v>
      </c>
      <c r="Z33" s="10">
        <v>233.68181818181819</v>
      </c>
      <c r="AA33">
        <v>191.18181818181819</v>
      </c>
    </row>
    <row r="34" spans="1:27" ht="15.75" customHeight="1">
      <c r="A34" t="s">
        <v>48</v>
      </c>
      <c r="B34" s="9">
        <v>0.28000000000000003</v>
      </c>
      <c r="C34">
        <v>0.16</v>
      </c>
      <c r="D34">
        <v>120</v>
      </c>
      <c r="E34">
        <v>0.7</v>
      </c>
      <c r="F34" s="4">
        <v>85</v>
      </c>
      <c r="G34" t="s">
        <v>15</v>
      </c>
      <c r="H34" s="4">
        <v>50</v>
      </c>
      <c r="I34" s="4">
        <v>5</v>
      </c>
      <c r="J34" s="4">
        <f t="shared" si="1"/>
        <v>227.23636363636362</v>
      </c>
      <c r="K34" s="10">
        <f t="shared" si="2"/>
        <v>167.23636363636362</v>
      </c>
      <c r="L34">
        <v>1</v>
      </c>
      <c r="M34" s="12" t="str">
        <f t="shared" si="0"/>
        <v>"Mako": CharacterStats("Mako",0.28,0.16,120,0.7,85,"スモーカー",50,5),</v>
      </c>
      <c r="Q34" t="str">
        <v>Mazino</v>
      </c>
      <c r="R34" s="11">
        <v>0.33</v>
      </c>
      <c r="S34" s="11">
        <v>0.18</v>
      </c>
      <c r="T34" s="10">
        <v>100</v>
      </c>
      <c r="U34" s="11">
        <v>0.72</v>
      </c>
      <c r="V34" s="10">
        <v>94</v>
      </c>
      <c r="W34" t="str">
        <v>スモーカー</v>
      </c>
      <c r="X34">
        <v>60</v>
      </c>
      <c r="Y34" s="10">
        <v>7</v>
      </c>
      <c r="Z34" s="10">
        <v>233.82727272727274</v>
      </c>
      <c r="AA34">
        <v>183.82727272727274</v>
      </c>
    </row>
    <row r="35" spans="1:27" ht="15.75" customHeight="1">
      <c r="A35" t="s">
        <v>49</v>
      </c>
      <c r="B35">
        <v>0.33</v>
      </c>
      <c r="C35">
        <v>0.19</v>
      </c>
      <c r="D35">
        <v>93</v>
      </c>
      <c r="E35">
        <v>0.75</v>
      </c>
      <c r="F35" s="4">
        <v>150</v>
      </c>
      <c r="G35" t="s">
        <v>17</v>
      </c>
      <c r="H35" s="4">
        <v>75</v>
      </c>
      <c r="I35" s="4">
        <v>7</v>
      </c>
      <c r="J35" s="4">
        <f t="shared" si="1"/>
        <v>261.38181818181818</v>
      </c>
      <c r="K35" s="10">
        <f t="shared" si="2"/>
        <v>214.88181818181818</v>
      </c>
      <c r="L35">
        <v>1</v>
      </c>
      <c r="M35" s="12" t="str">
        <f t="shared" si="0"/>
        <v>"t3xture": CharacterStats("t3xture",0.33,0.19,93,0.75,150,"タイガー",75,7),</v>
      </c>
      <c r="Q35" t="str">
        <v>BABYBAY</v>
      </c>
      <c r="R35" s="11">
        <v>0.4</v>
      </c>
      <c r="S35" s="11">
        <v>0.15</v>
      </c>
      <c r="T35" s="10">
        <v>85</v>
      </c>
      <c r="U35" s="11">
        <v>0.73</v>
      </c>
      <c r="V35" s="10">
        <v>100</v>
      </c>
      <c r="W35" t="str">
        <v>タイガー</v>
      </c>
      <c r="X35">
        <v>55</v>
      </c>
      <c r="Y35" s="10">
        <v>7</v>
      </c>
      <c r="Z35" s="10">
        <v>234.35454545454547</v>
      </c>
      <c r="AA35">
        <v>191.85454545454547</v>
      </c>
    </row>
    <row r="36" spans="1:27" ht="15.75" customHeight="1">
      <c r="A36" t="s">
        <v>50</v>
      </c>
      <c r="B36">
        <v>0.3</v>
      </c>
      <c r="C36">
        <v>0.18</v>
      </c>
      <c r="D36">
        <v>120</v>
      </c>
      <c r="E36">
        <v>0.71</v>
      </c>
      <c r="F36" s="4">
        <v>85</v>
      </c>
      <c r="G36" t="s">
        <v>19</v>
      </c>
      <c r="H36" s="4">
        <v>40</v>
      </c>
      <c r="I36" s="4">
        <v>5</v>
      </c>
      <c r="J36" s="4">
        <f t="shared" si="1"/>
        <v>234.5363636363636</v>
      </c>
      <c r="K36" s="10">
        <f t="shared" si="2"/>
        <v>174.5363636363636</v>
      </c>
      <c r="L36">
        <v>1</v>
      </c>
      <c r="M36" s="12" t="str">
        <f t="shared" si="0"/>
        <v>"trent": CharacterStats("trent",0.3,0.18,120,0.71,85,"シーカー",40,5),</v>
      </c>
      <c r="Q36" t="str">
        <v>Rarga</v>
      </c>
      <c r="R36" s="11">
        <v>0.35</v>
      </c>
      <c r="S36" s="11">
        <v>0.19</v>
      </c>
      <c r="T36" s="10">
        <v>75</v>
      </c>
      <c r="U36" s="11">
        <v>0.75</v>
      </c>
      <c r="V36" s="10">
        <v>120</v>
      </c>
      <c r="W36" t="str">
        <v>タイガー</v>
      </c>
      <c r="X36">
        <v>50</v>
      </c>
      <c r="Y36" s="10">
        <v>7</v>
      </c>
      <c r="Z36" s="10">
        <v>241.34545454545454</v>
      </c>
      <c r="AA36">
        <v>203.84545454545454</v>
      </c>
    </row>
    <row r="37" spans="1:27" ht="15.75" customHeight="1">
      <c r="A37" t="s">
        <v>51</v>
      </c>
      <c r="B37">
        <v>0.38</v>
      </c>
      <c r="C37">
        <v>0.17</v>
      </c>
      <c r="D37">
        <v>89</v>
      </c>
      <c r="E37">
        <v>0.74</v>
      </c>
      <c r="F37" s="4">
        <v>80</v>
      </c>
      <c r="G37" t="s">
        <v>13</v>
      </c>
      <c r="H37" s="4">
        <v>40</v>
      </c>
      <c r="I37" s="4">
        <v>5</v>
      </c>
      <c r="J37" s="4">
        <f t="shared" si="1"/>
        <v>229.36363636363637</v>
      </c>
      <c r="K37" s="10">
        <f t="shared" si="2"/>
        <v>184.86363636363637</v>
      </c>
      <c r="L37">
        <v>1</v>
      </c>
      <c r="M37" s="12" t="str">
        <f t="shared" si="0"/>
        <v>"leaf": CharacterStats("leaf",0.38,0.17,89,0.74,80,"フラッシュ",40,5),</v>
      </c>
      <c r="Q37" t="str">
        <v>Lysoar</v>
      </c>
      <c r="R37" s="11">
        <v>0.33</v>
      </c>
      <c r="S37" s="11">
        <v>0.17</v>
      </c>
      <c r="T37" s="10">
        <v>105</v>
      </c>
      <c r="U37" s="11">
        <v>0.71</v>
      </c>
      <c r="V37" s="10">
        <v>100</v>
      </c>
      <c r="W37" t="str">
        <v>スモーカー</v>
      </c>
      <c r="X37">
        <v>50</v>
      </c>
      <c r="Y37" s="10">
        <v>7</v>
      </c>
      <c r="Z37" s="10">
        <v>236.05454545454546</v>
      </c>
      <c r="AA37">
        <v>183.55454545454546</v>
      </c>
    </row>
    <row r="38" spans="1:27" ht="15.75" customHeight="1">
      <c r="A38" t="s">
        <v>52</v>
      </c>
      <c r="B38">
        <v>0.31</v>
      </c>
      <c r="C38">
        <v>0.19</v>
      </c>
      <c r="D38">
        <v>89</v>
      </c>
      <c r="E38">
        <v>0.72</v>
      </c>
      <c r="F38" s="4">
        <v>90</v>
      </c>
      <c r="G38" t="s">
        <v>15</v>
      </c>
      <c r="H38" s="4">
        <v>70</v>
      </c>
      <c r="I38" s="4">
        <v>8</v>
      </c>
      <c r="J38" s="4">
        <f t="shared" si="1"/>
        <v>225.6090909090909</v>
      </c>
      <c r="K38" s="10">
        <f t="shared" si="2"/>
        <v>181.1090909090909</v>
      </c>
      <c r="L38">
        <v>1</v>
      </c>
      <c r="M38" s="12" t="str">
        <f t="shared" si="0"/>
        <v>"keiko": CharacterStats("keiko",0.31,0.19,89,0.72,90,"スモーカー",70,8),</v>
      </c>
      <c r="Q38" t="str">
        <v>s0m</v>
      </c>
      <c r="R38" s="11">
        <v>0.3</v>
      </c>
      <c r="S38" s="11">
        <v>0.23</v>
      </c>
      <c r="T38" s="10">
        <v>145</v>
      </c>
      <c r="U38" s="11">
        <v>0.7</v>
      </c>
      <c r="V38" s="10">
        <v>116</v>
      </c>
      <c r="W38" t="str">
        <v>スモーカー</v>
      </c>
      <c r="X38">
        <v>55</v>
      </c>
      <c r="Y38" s="10">
        <v>7</v>
      </c>
      <c r="Z38" s="10">
        <v>268.32727272727266</v>
      </c>
      <c r="AA38">
        <v>195.82727272727269</v>
      </c>
    </row>
    <row r="39" spans="1:27" ht="15.75" customHeight="1">
      <c r="A39" t="s">
        <v>53</v>
      </c>
      <c r="B39">
        <v>0.28999999999999998</v>
      </c>
      <c r="C39">
        <v>0.23</v>
      </c>
      <c r="D39">
        <v>110</v>
      </c>
      <c r="E39">
        <v>0.69</v>
      </c>
      <c r="F39" s="4">
        <v>80</v>
      </c>
      <c r="G39" t="s">
        <v>15</v>
      </c>
      <c r="H39" s="4">
        <v>40</v>
      </c>
      <c r="I39" s="4">
        <v>4</v>
      </c>
      <c r="J39" s="4">
        <f t="shared" si="1"/>
        <v>231.86363636363637</v>
      </c>
      <c r="K39" s="10">
        <f t="shared" si="2"/>
        <v>176.86363636363637</v>
      </c>
      <c r="L39">
        <v>1</v>
      </c>
      <c r="M39" s="12" t="str">
        <f t="shared" si="0"/>
        <v>"Rb": CharacterStats("Rb",0.29,0.23,110,0.69,80,"スモーカー",40,4),</v>
      </c>
      <c r="Q39" t="str">
        <v>Canezerra</v>
      </c>
      <c r="R39" s="11">
        <v>0.45</v>
      </c>
      <c r="S39" s="11">
        <v>0.17</v>
      </c>
      <c r="T39" s="10">
        <v>85</v>
      </c>
      <c r="U39" s="11">
        <v>0.8</v>
      </c>
      <c r="V39" s="10">
        <v>147</v>
      </c>
      <c r="W39" t="str">
        <v>タイガー</v>
      </c>
      <c r="X39">
        <v>80</v>
      </c>
      <c r="Y39" s="10">
        <v>7</v>
      </c>
      <c r="Z39" s="10">
        <v>274.71818181818185</v>
      </c>
      <c r="AA39">
        <v>232.21818181818185</v>
      </c>
    </row>
    <row r="40" spans="1:27" ht="15.75" customHeight="1">
      <c r="A40" t="s">
        <v>54</v>
      </c>
      <c r="B40">
        <v>0.28999999999999998</v>
      </c>
      <c r="C40">
        <v>0.15</v>
      </c>
      <c r="D40">
        <v>130</v>
      </c>
      <c r="E40">
        <v>0.69</v>
      </c>
      <c r="F40" s="4">
        <v>80</v>
      </c>
      <c r="G40" t="s">
        <v>13</v>
      </c>
      <c r="H40" s="4">
        <v>70</v>
      </c>
      <c r="I40" s="4">
        <v>4</v>
      </c>
      <c r="J40" s="4">
        <f t="shared" si="1"/>
        <v>228.26363636363635</v>
      </c>
      <c r="K40" s="10">
        <f t="shared" si="2"/>
        <v>163.26363636363635</v>
      </c>
      <c r="L40">
        <v>1</v>
      </c>
      <c r="M40" s="12" t="str">
        <f t="shared" si="0"/>
        <v>"stax": CharacterStats("stax",0.29,0.15,130,0.69,80,"フラッシュ",70,4),</v>
      </c>
      <c r="Q40" t="str">
        <v>Tartaglia</v>
      </c>
      <c r="R40" s="11">
        <v>0.55000000000000004</v>
      </c>
      <c r="S40" s="11">
        <v>0.15</v>
      </c>
      <c r="T40" s="10">
        <v>75</v>
      </c>
      <c r="U40" s="11">
        <v>0.72</v>
      </c>
      <c r="V40" s="10">
        <v>150</v>
      </c>
      <c r="W40" t="str">
        <v>フラッシュ</v>
      </c>
      <c r="X40">
        <v>80</v>
      </c>
      <c r="Y40" s="10">
        <v>7</v>
      </c>
      <c r="Z40" s="10">
        <v>270.28181818181821</v>
      </c>
      <c r="AA40">
        <v>232.78181818181821</v>
      </c>
    </row>
    <row r="41" spans="1:27" ht="15.75" customHeight="1">
      <c r="A41" t="s">
        <v>55</v>
      </c>
      <c r="B41">
        <v>0.35</v>
      </c>
      <c r="C41">
        <v>0.19</v>
      </c>
      <c r="D41">
        <v>85</v>
      </c>
      <c r="E41">
        <v>0.74</v>
      </c>
      <c r="F41" s="4">
        <v>95</v>
      </c>
      <c r="G41" t="s">
        <v>13</v>
      </c>
      <c r="H41" s="4">
        <v>60</v>
      </c>
      <c r="I41" s="4">
        <v>7</v>
      </c>
      <c r="J41" s="4">
        <f t="shared" si="1"/>
        <v>233.68181818181819</v>
      </c>
      <c r="K41" s="10">
        <f t="shared" si="2"/>
        <v>191.18181818181819</v>
      </c>
      <c r="L41">
        <v>1</v>
      </c>
      <c r="M41" s="12" t="str">
        <f t="shared" si="0"/>
        <v>"tex": CharacterStats("tex",0.35,0.19,85,0.74,95,"フラッシュ",60,7),</v>
      </c>
      <c r="Q41" t="str">
        <v>Asuna</v>
      </c>
      <c r="R41" s="11">
        <v>0.28999999999999998</v>
      </c>
      <c r="S41" s="11">
        <v>0.17</v>
      </c>
      <c r="T41" s="10">
        <v>85</v>
      </c>
      <c r="U41" s="11">
        <v>0.75</v>
      </c>
      <c r="V41" s="10">
        <v>125</v>
      </c>
      <c r="W41" t="str">
        <v>フラッシュ</v>
      </c>
      <c r="X41">
        <v>65</v>
      </c>
      <c r="Y41" s="10">
        <v>7</v>
      </c>
      <c r="Z41" s="10">
        <v>237.41818181818181</v>
      </c>
      <c r="AA41">
        <v>194.91818181818181</v>
      </c>
    </row>
    <row r="42" spans="1:27" ht="15.75" customHeight="1">
      <c r="A42" t="s">
        <v>56</v>
      </c>
      <c r="B42">
        <v>0.33</v>
      </c>
      <c r="C42">
        <v>0.18</v>
      </c>
      <c r="D42">
        <v>100</v>
      </c>
      <c r="E42">
        <v>0.72</v>
      </c>
      <c r="F42" s="4">
        <v>94</v>
      </c>
      <c r="G42" t="s">
        <v>15</v>
      </c>
      <c r="H42" s="4">
        <v>60</v>
      </c>
      <c r="I42" s="4">
        <v>7</v>
      </c>
      <c r="J42" s="4">
        <f t="shared" si="1"/>
        <v>233.82727272727274</v>
      </c>
      <c r="K42" s="10">
        <f t="shared" si="2"/>
        <v>183.82727272727274</v>
      </c>
      <c r="L42">
        <v>1</v>
      </c>
      <c r="M42" s="12" t="str">
        <f t="shared" si="0"/>
        <v>"Mazino": CharacterStats("Mazino",0.33,0.18,100,0.72,94,"スモーカー",60,7),</v>
      </c>
      <c r="Q42" t="str">
        <v>Sato</v>
      </c>
      <c r="R42" s="11">
        <v>0.4</v>
      </c>
      <c r="S42" s="11">
        <v>0.19</v>
      </c>
      <c r="T42" s="10">
        <v>67</v>
      </c>
      <c r="U42" s="11">
        <v>0.73</v>
      </c>
      <c r="V42" s="10">
        <v>105</v>
      </c>
      <c r="W42" t="str">
        <v>フラッシュ</v>
      </c>
      <c r="X42">
        <v>60</v>
      </c>
      <c r="Y42" s="10">
        <v>6</v>
      </c>
      <c r="Z42" s="10">
        <v>234.42727272727271</v>
      </c>
      <c r="AA42">
        <v>200.92727272727271</v>
      </c>
    </row>
    <row r="43" spans="1:27" ht="15.75" customHeight="1">
      <c r="A43" t="s">
        <v>57</v>
      </c>
      <c r="B43">
        <v>0.35</v>
      </c>
      <c r="C43">
        <v>0.25</v>
      </c>
      <c r="D43">
        <v>85</v>
      </c>
      <c r="E43">
        <v>0.7</v>
      </c>
      <c r="F43" s="4">
        <v>105</v>
      </c>
      <c r="G43" t="s">
        <v>13</v>
      </c>
      <c r="H43" s="4">
        <v>100</v>
      </c>
      <c r="I43" s="4">
        <v>8</v>
      </c>
      <c r="J43" s="4">
        <f t="shared" si="1"/>
        <v>243.22727272727272</v>
      </c>
      <c r="K43" s="10">
        <f t="shared" si="2"/>
        <v>200.72727272727272</v>
      </c>
      <c r="L43">
        <v>1</v>
      </c>
      <c r="M43" s="12" t="str">
        <f t="shared" si="0"/>
        <v>"Zekken": CharacterStats("Zekken",0.35,0.25,85,0.7,105,"フラッシュ",100,8),</v>
      </c>
      <c r="Q43" t="str">
        <v>Boostio</v>
      </c>
      <c r="R43" s="11">
        <v>0.28000000000000003</v>
      </c>
      <c r="S43" s="11">
        <v>0.15</v>
      </c>
      <c r="T43" s="10">
        <v>128</v>
      </c>
      <c r="U43" s="11">
        <v>0.68</v>
      </c>
      <c r="V43" s="10">
        <v>85</v>
      </c>
      <c r="W43" t="str">
        <v>スモーカー</v>
      </c>
      <c r="X43">
        <v>70</v>
      </c>
      <c r="Y43" s="10">
        <v>6</v>
      </c>
      <c r="Z43" s="10">
        <v>226.93636363636364</v>
      </c>
      <c r="AA43">
        <v>162.93636363636364</v>
      </c>
    </row>
    <row r="44" spans="1:27" ht="15.75" customHeight="1">
      <c r="A44" t="s">
        <v>58</v>
      </c>
      <c r="B44">
        <v>0.4</v>
      </c>
      <c r="C44">
        <v>0.15</v>
      </c>
      <c r="D44">
        <v>85</v>
      </c>
      <c r="E44">
        <v>0.73</v>
      </c>
      <c r="F44" s="4">
        <v>100</v>
      </c>
      <c r="G44" t="s">
        <v>17</v>
      </c>
      <c r="H44" s="4">
        <v>55</v>
      </c>
      <c r="I44" s="4">
        <v>7</v>
      </c>
      <c r="J44" s="4">
        <f t="shared" si="1"/>
        <v>234.35454545454547</v>
      </c>
      <c r="K44" s="10">
        <f t="shared" si="2"/>
        <v>191.85454545454547</v>
      </c>
      <c r="L44">
        <v>1</v>
      </c>
      <c r="M44" s="12" t="str">
        <f t="shared" si="0"/>
        <v>"BABYBAY": CharacterStats("BABYBAY",0.4,0.15,85,0.73,100,"タイガー",55,7),</v>
      </c>
      <c r="Q44" t="str">
        <v>Laz</v>
      </c>
      <c r="R44" s="11">
        <v>0.4</v>
      </c>
      <c r="S44" s="11">
        <v>0.14000000000000001</v>
      </c>
      <c r="T44" s="10">
        <v>70</v>
      </c>
      <c r="U44" s="11">
        <v>0.75</v>
      </c>
      <c r="V44" s="10">
        <v>86</v>
      </c>
      <c r="W44" t="str">
        <v>フラッシュ</v>
      </c>
      <c r="X44">
        <v>80</v>
      </c>
      <c r="Y44" s="10">
        <v>6</v>
      </c>
      <c r="Z44" s="10">
        <v>221.3909090909091</v>
      </c>
      <c r="AA44">
        <v>186.3909090909091</v>
      </c>
    </row>
    <row r="45" spans="1:27" ht="15.75" customHeight="1">
      <c r="A45" t="s">
        <v>59</v>
      </c>
      <c r="B45">
        <v>0.33</v>
      </c>
      <c r="C45">
        <v>0.22</v>
      </c>
      <c r="D45">
        <v>75</v>
      </c>
      <c r="E45">
        <v>0.73</v>
      </c>
      <c r="F45" s="4">
        <v>100</v>
      </c>
      <c r="G45" t="s">
        <v>17</v>
      </c>
      <c r="H45" s="4">
        <v>50</v>
      </c>
      <c r="I45" s="4">
        <v>5</v>
      </c>
      <c r="J45" s="4">
        <f t="shared" si="1"/>
        <v>232.15454545454543</v>
      </c>
      <c r="K45" s="10">
        <f t="shared" si="2"/>
        <v>194.65454545454543</v>
      </c>
      <c r="L45">
        <v>1</v>
      </c>
      <c r="M45" s="12" t="str">
        <f t="shared" si="0"/>
        <v>"Dep": CharacterStats("Dep",0.33,0.22,75,0.73,100,"タイガー",50,5),</v>
      </c>
      <c r="Q45" t="str">
        <v>Brawk</v>
      </c>
      <c r="R45" s="11">
        <v>0.32</v>
      </c>
      <c r="S45" s="11">
        <v>0.15</v>
      </c>
      <c r="T45" s="10">
        <v>90</v>
      </c>
      <c r="U45" s="11">
        <v>0.69</v>
      </c>
      <c r="V45" s="10">
        <v>95</v>
      </c>
      <c r="W45" t="str">
        <v>シーカー</v>
      </c>
      <c r="X45">
        <v>90</v>
      </c>
      <c r="Y45" s="10">
        <v>6</v>
      </c>
      <c r="Z45" s="10">
        <v>218.98181818181817</v>
      </c>
      <c r="AA45">
        <v>173.98181818181817</v>
      </c>
    </row>
    <row r="46" spans="1:27" ht="15.75" customHeight="1">
      <c r="A46" t="s">
        <v>60</v>
      </c>
      <c r="B46">
        <v>0.28999999999999998</v>
      </c>
      <c r="C46">
        <v>0.18</v>
      </c>
      <c r="D46">
        <v>120</v>
      </c>
      <c r="E46">
        <v>0.65</v>
      </c>
      <c r="F46" s="4">
        <v>93</v>
      </c>
      <c r="G46" t="s">
        <v>15</v>
      </c>
      <c r="H46" s="4">
        <v>40</v>
      </c>
      <c r="I46" s="4">
        <v>5</v>
      </c>
      <c r="J46" s="4">
        <f t="shared" si="1"/>
        <v>229.07272727272726</v>
      </c>
      <c r="K46" s="10">
        <f t="shared" si="2"/>
        <v>169.07272727272726</v>
      </c>
      <c r="L46">
        <v>1</v>
      </c>
      <c r="M46" s="12" t="str">
        <f t="shared" si="0"/>
        <v>"SugarZ3ro": CharacterStats("SugarZ3ro",0.29,0.18,120,0.65,93,"スモーカー",40,5),</v>
      </c>
      <c r="Q46" t="str">
        <v>skuba</v>
      </c>
      <c r="R46" s="11">
        <v>0.31</v>
      </c>
      <c r="S46" s="11">
        <v>0.17</v>
      </c>
      <c r="T46" s="10">
        <v>105</v>
      </c>
      <c r="U46" s="11">
        <v>0.71</v>
      </c>
      <c r="V46" s="10">
        <v>100</v>
      </c>
      <c r="W46" t="str">
        <v>スモーカー</v>
      </c>
      <c r="X46">
        <v>50</v>
      </c>
      <c r="Y46" s="10">
        <v>6</v>
      </c>
      <c r="Z46" s="10">
        <v>233.45454545454544</v>
      </c>
      <c r="AA46">
        <v>180.95454545454544</v>
      </c>
    </row>
    <row r="47" spans="1:27" ht="15.75" customHeight="1">
      <c r="A47" t="s">
        <v>61</v>
      </c>
      <c r="B47">
        <v>0.3</v>
      </c>
      <c r="C47">
        <v>0.23</v>
      </c>
      <c r="D47">
        <v>80</v>
      </c>
      <c r="E47">
        <v>0.72</v>
      </c>
      <c r="F47" s="4">
        <v>100</v>
      </c>
      <c r="G47" t="s">
        <v>17</v>
      </c>
      <c r="H47" s="4">
        <v>60</v>
      </c>
      <c r="I47" s="4">
        <v>5</v>
      </c>
      <c r="J47" s="4">
        <f t="shared" si="1"/>
        <v>231.15454545454543</v>
      </c>
      <c r="K47" s="10">
        <f t="shared" si="2"/>
        <v>191.15454545454543</v>
      </c>
      <c r="L47">
        <v>1</v>
      </c>
      <c r="M47" s="12" t="str">
        <f t="shared" si="0"/>
        <v>"Buzz": CharacterStats("Buzz",0.3,0.23,80,0.72,100,"タイガー",60,5),</v>
      </c>
      <c r="Q47" t="str">
        <v>Cryocells</v>
      </c>
      <c r="R47" s="11">
        <v>0.28999999999999998</v>
      </c>
      <c r="S47" s="11">
        <v>0.18</v>
      </c>
      <c r="T47" s="10">
        <v>85</v>
      </c>
      <c r="U47" s="11">
        <v>0.76</v>
      </c>
      <c r="V47" s="10">
        <v>110</v>
      </c>
      <c r="W47" t="str">
        <v>タイガー</v>
      </c>
      <c r="X47">
        <v>65</v>
      </c>
      <c r="Y47" s="10">
        <v>6</v>
      </c>
      <c r="Z47" s="10">
        <v>233.60000000000002</v>
      </c>
      <c r="AA47">
        <v>191.10000000000002</v>
      </c>
    </row>
    <row r="48" spans="1:27" ht="15.75" customHeight="1">
      <c r="A48" t="s">
        <v>62</v>
      </c>
      <c r="B48">
        <v>0.38</v>
      </c>
      <c r="C48">
        <v>0.23</v>
      </c>
      <c r="D48">
        <v>105</v>
      </c>
      <c r="E48">
        <v>0.76</v>
      </c>
      <c r="F48" s="4">
        <v>120</v>
      </c>
      <c r="G48" t="s">
        <v>15</v>
      </c>
      <c r="H48" s="4">
        <v>170</v>
      </c>
      <c r="I48" s="4">
        <v>9</v>
      </c>
      <c r="J48" s="4">
        <f t="shared" si="1"/>
        <v>268.34545454545457</v>
      </c>
      <c r="K48" s="10">
        <f t="shared" si="2"/>
        <v>215.84545454545454</v>
      </c>
      <c r="L48">
        <v>1</v>
      </c>
      <c r="M48" s="12" t="str">
        <f t="shared" si="0"/>
        <v>"TenZ": CharacterStats("TenZ",0.38,0.23,105,0.76,120,"スモーカー",170,9),</v>
      </c>
      <c r="Q48" t="str">
        <v>Loita</v>
      </c>
      <c r="R48" s="11">
        <v>0.33</v>
      </c>
      <c r="S48" s="11">
        <v>0.22</v>
      </c>
      <c r="T48" s="10">
        <v>111</v>
      </c>
      <c r="U48" s="11">
        <v>0.77</v>
      </c>
      <c r="V48" s="10">
        <v>111</v>
      </c>
      <c r="W48" t="str">
        <v>スモーカー</v>
      </c>
      <c r="X48">
        <v>77</v>
      </c>
      <c r="Y48" s="10">
        <v>6</v>
      </c>
      <c r="Z48" s="10">
        <v>260.35454545454547</v>
      </c>
      <c r="AA48">
        <v>204.85454545454547</v>
      </c>
    </row>
    <row r="49" spans="1:27" ht="15.75" customHeight="1">
      <c r="A49" t="s">
        <v>63</v>
      </c>
      <c r="B49">
        <v>0.3</v>
      </c>
      <c r="C49">
        <v>0.22</v>
      </c>
      <c r="D49">
        <v>88</v>
      </c>
      <c r="E49">
        <v>0.7</v>
      </c>
      <c r="F49" s="4">
        <v>95</v>
      </c>
      <c r="G49" t="s">
        <v>13</v>
      </c>
      <c r="H49" s="4">
        <v>50</v>
      </c>
      <c r="I49" s="4">
        <v>10</v>
      </c>
      <c r="J49" s="4">
        <f t="shared" si="1"/>
        <v>228.58181818181816</v>
      </c>
      <c r="K49" s="10">
        <f t="shared" si="2"/>
        <v>184.58181818181816</v>
      </c>
      <c r="L49">
        <v>1</v>
      </c>
      <c r="M49" s="12" t="str">
        <f t="shared" si="0"/>
        <v>"eggsterr": CharacterStats("eggsterr",0.3,0.22,88,0.7,95,"フラッシュ",50,10),</v>
      </c>
      <c r="Q49" t="str">
        <v>Boaster</v>
      </c>
      <c r="R49" s="11">
        <v>0.2</v>
      </c>
      <c r="S49" s="11">
        <v>0.12</v>
      </c>
      <c r="T49" s="10">
        <v>175</v>
      </c>
      <c r="U49" s="11">
        <v>0.62</v>
      </c>
      <c r="V49" s="10">
        <v>96</v>
      </c>
      <c r="W49" t="str">
        <v>スモーカー</v>
      </c>
      <c r="X49">
        <v>50</v>
      </c>
      <c r="Y49" s="10">
        <v>5</v>
      </c>
      <c r="Z49" s="10">
        <v>232.13636363636363</v>
      </c>
      <c r="AA49">
        <v>144.63636363636363</v>
      </c>
    </row>
    <row r="50" spans="1:27" ht="15.75" customHeight="1">
      <c r="A50" s="5" t="s">
        <v>64</v>
      </c>
      <c r="B50" s="5">
        <v>0.31</v>
      </c>
      <c r="C50" s="5">
        <v>0.18</v>
      </c>
      <c r="D50" s="5">
        <v>89</v>
      </c>
      <c r="E50" s="5">
        <v>0.7</v>
      </c>
      <c r="F50" s="4">
        <v>100</v>
      </c>
      <c r="G50" t="s">
        <v>19</v>
      </c>
      <c r="H50" s="4">
        <v>50</v>
      </c>
      <c r="I50" s="4">
        <v>9</v>
      </c>
      <c r="J50" s="4">
        <f t="shared" si="1"/>
        <v>225.85454545454542</v>
      </c>
      <c r="K50" s="10">
        <f t="shared" si="2"/>
        <v>181.35454545454542</v>
      </c>
      <c r="L50">
        <v>1</v>
      </c>
      <c r="M50" s="12" t="str">
        <f t="shared" si="0"/>
        <v>"Rossy": CharacterStats("Rossy",0.31,0.18,89,0.7,100,"シーカー",50,9),</v>
      </c>
      <c r="Q50" t="str">
        <v>d4v41</v>
      </c>
      <c r="R50" s="11">
        <v>0.35</v>
      </c>
      <c r="S50" s="11">
        <v>0.17</v>
      </c>
      <c r="T50" s="10">
        <v>70</v>
      </c>
      <c r="U50" s="11">
        <v>0.71</v>
      </c>
      <c r="V50" s="10">
        <v>105</v>
      </c>
      <c r="W50" t="str">
        <v>シーカー</v>
      </c>
      <c r="X50">
        <v>40</v>
      </c>
      <c r="Y50" s="10">
        <v>5</v>
      </c>
      <c r="Z50" s="10">
        <v>223.42727272727271</v>
      </c>
      <c r="AA50">
        <v>188.42727272727271</v>
      </c>
    </row>
    <row r="51" spans="1:27" ht="15.75" customHeight="1">
      <c r="A51" s="5" t="s">
        <v>65</v>
      </c>
      <c r="B51" s="5">
        <v>0.35</v>
      </c>
      <c r="C51" s="5">
        <v>0.19</v>
      </c>
      <c r="D51" s="5">
        <v>75</v>
      </c>
      <c r="E51" s="5">
        <v>0.75</v>
      </c>
      <c r="F51" s="4">
        <v>120</v>
      </c>
      <c r="G51" t="s">
        <v>17</v>
      </c>
      <c r="H51" s="4">
        <v>50</v>
      </c>
      <c r="I51" s="4">
        <v>7</v>
      </c>
      <c r="J51" s="4">
        <f t="shared" si="1"/>
        <v>241.34545454545454</v>
      </c>
      <c r="K51" s="10">
        <f t="shared" si="2"/>
        <v>203.84545454545454</v>
      </c>
      <c r="L51">
        <v>1</v>
      </c>
      <c r="M51" s="12" t="str">
        <f t="shared" si="0"/>
        <v>"Rarga": CharacterStats("Rarga",0.35,0.19,75,0.75,120,"タイガー",50,7),</v>
      </c>
      <c r="Q51" t="str">
        <v>valyn</v>
      </c>
      <c r="R51" s="11">
        <v>0.26</v>
      </c>
      <c r="S51" s="11">
        <v>0.13</v>
      </c>
      <c r="T51" s="10">
        <v>140</v>
      </c>
      <c r="U51" s="11">
        <v>0.64</v>
      </c>
      <c r="V51" s="10">
        <v>95</v>
      </c>
      <c r="W51" t="str">
        <v>スモーカー</v>
      </c>
      <c r="X51">
        <v>40</v>
      </c>
      <c r="Y51" s="10">
        <v>5</v>
      </c>
      <c r="Z51" s="10">
        <v>226.28181818181821</v>
      </c>
      <c r="AA51">
        <v>156.28181818181818</v>
      </c>
    </row>
    <row r="52" spans="1:27" ht="15.75" customHeight="1">
      <c r="A52" s="5" t="s">
        <v>66</v>
      </c>
      <c r="B52" s="5">
        <v>0.33</v>
      </c>
      <c r="C52" s="5">
        <v>0.17</v>
      </c>
      <c r="D52" s="5">
        <v>105</v>
      </c>
      <c r="E52" s="5">
        <v>0.71</v>
      </c>
      <c r="F52" s="4">
        <v>100</v>
      </c>
      <c r="G52" t="s">
        <v>15</v>
      </c>
      <c r="H52" s="4">
        <v>50</v>
      </c>
      <c r="I52" s="4">
        <v>7</v>
      </c>
      <c r="J52" s="4">
        <f t="shared" si="1"/>
        <v>236.05454545454546</v>
      </c>
      <c r="K52" s="10">
        <f t="shared" si="2"/>
        <v>183.55454545454546</v>
      </c>
      <c r="L52">
        <v>1</v>
      </c>
      <c r="M52" s="12" t="str">
        <f t="shared" si="0"/>
        <v>"Lysoar": CharacterStats("Lysoar",0.33,0.17,105,0.71,100,"スモーカー",50,7),</v>
      </c>
      <c r="Q52" t="str">
        <v>Sayonara</v>
      </c>
      <c r="R52" s="11">
        <v>0.33</v>
      </c>
      <c r="S52" s="11">
        <v>0.19</v>
      </c>
      <c r="T52" s="10">
        <v>95</v>
      </c>
      <c r="U52" s="11">
        <v>0.7</v>
      </c>
      <c r="V52" s="10">
        <v>90</v>
      </c>
      <c r="W52" t="str">
        <v>シーカー</v>
      </c>
      <c r="X52">
        <v>80</v>
      </c>
      <c r="Y52" s="10">
        <v>5</v>
      </c>
      <c r="Z52" s="10">
        <v>228.6090909090909</v>
      </c>
      <c r="AA52">
        <v>181.1090909090909</v>
      </c>
    </row>
    <row r="53" spans="1:27" ht="15.75" customHeight="1">
      <c r="A53" s="5" t="s">
        <v>67</v>
      </c>
      <c r="B53" s="5">
        <v>0.38</v>
      </c>
      <c r="C53" s="5">
        <v>0.19</v>
      </c>
      <c r="D53" s="5">
        <v>75</v>
      </c>
      <c r="E53" s="5">
        <v>0.73</v>
      </c>
      <c r="F53" s="4">
        <v>120</v>
      </c>
      <c r="G53" t="s">
        <v>15</v>
      </c>
      <c r="H53" s="4">
        <v>50</v>
      </c>
      <c r="I53" s="4">
        <v>8</v>
      </c>
      <c r="J53" s="4">
        <f t="shared" si="1"/>
        <v>242.64545454545453</v>
      </c>
      <c r="K53" s="10">
        <f t="shared" si="2"/>
        <v>205.14545454545453</v>
      </c>
      <c r="L53">
        <v>1</v>
      </c>
      <c r="M53" s="12" t="str">
        <f t="shared" si="0"/>
        <v>"Smoggy": CharacterStats("Smoggy",0.38,0.19,75,0.73,120,"スモーカー",50,8),</v>
      </c>
      <c r="Q53" t="str">
        <v>Primmie</v>
      </c>
      <c r="R53" s="11">
        <v>0.47</v>
      </c>
      <c r="S53" s="11">
        <v>0.24</v>
      </c>
      <c r="T53" s="10">
        <v>59</v>
      </c>
      <c r="U53" s="11">
        <v>0.79</v>
      </c>
      <c r="V53" s="10">
        <v>98</v>
      </c>
      <c r="W53" t="str">
        <v>タイガー</v>
      </c>
      <c r="X53">
        <v>90</v>
      </c>
      <c r="Y53" s="10">
        <v>5</v>
      </c>
      <c r="Z53" s="10">
        <v>252.64545454545453</v>
      </c>
      <c r="AA53">
        <v>223.14545454545456</v>
      </c>
    </row>
    <row r="54" spans="1:27" ht="15.75" customHeight="1">
      <c r="A54" s="5" t="s">
        <v>68</v>
      </c>
      <c r="B54" s="5">
        <v>0.32</v>
      </c>
      <c r="C54" s="5">
        <v>0.18</v>
      </c>
      <c r="D54" s="5">
        <v>80</v>
      </c>
      <c r="E54" s="5">
        <v>0.74</v>
      </c>
      <c r="F54" s="4">
        <v>100</v>
      </c>
      <c r="G54" t="s">
        <v>15</v>
      </c>
      <c r="H54" s="4">
        <v>50</v>
      </c>
      <c r="I54" s="4">
        <v>9</v>
      </c>
      <c r="J54" s="4">
        <f t="shared" si="1"/>
        <v>227.85454545454547</v>
      </c>
      <c r="K54" s="10">
        <f t="shared" si="2"/>
        <v>187.85454545454547</v>
      </c>
      <c r="L54">
        <v>1</v>
      </c>
      <c r="M54" s="12" t="str">
        <f t="shared" si="0"/>
        <v>"CHICHOO": CharacterStats("CHICHOO",0.32,0.18,80,0.74,100,"スモーカー",50,9),</v>
      </c>
      <c r="Q54" t="str">
        <v>HYUNMIN</v>
      </c>
      <c r="R54" s="11">
        <v>0.35</v>
      </c>
      <c r="S54" s="11">
        <v>0.24</v>
      </c>
      <c r="T54" s="10">
        <v>76</v>
      </c>
      <c r="U54" s="11">
        <v>0.75</v>
      </c>
      <c r="V54" s="10">
        <v>110</v>
      </c>
      <c r="W54" t="str">
        <v>フラッシュ</v>
      </c>
      <c r="X54">
        <v>70</v>
      </c>
      <c r="Y54" s="10">
        <v>5</v>
      </c>
      <c r="Z54" s="10">
        <v>245.8</v>
      </c>
      <c r="AA54">
        <v>207.8</v>
      </c>
    </row>
    <row r="55" spans="1:27" ht="15.75" customHeight="1">
      <c r="A55" s="5" t="s">
        <v>69</v>
      </c>
      <c r="B55" s="5">
        <v>0.28000000000000003</v>
      </c>
      <c r="C55" s="5">
        <v>0.17</v>
      </c>
      <c r="D55" s="5">
        <v>140</v>
      </c>
      <c r="E55" s="5">
        <v>0.68</v>
      </c>
      <c r="F55" s="4">
        <v>80</v>
      </c>
      <c r="G55" t="s">
        <v>19</v>
      </c>
      <c r="H55" s="4">
        <v>45</v>
      </c>
      <c r="I55" s="4">
        <v>0</v>
      </c>
      <c r="J55" s="4">
        <f t="shared" si="1"/>
        <v>234.06363636363636</v>
      </c>
      <c r="K55" s="10">
        <f t="shared" si="2"/>
        <v>164.06363636363636</v>
      </c>
      <c r="L55">
        <v>1</v>
      </c>
      <c r="M55" s="12" t="str">
        <f t="shared" si="0"/>
        <v>"crashies": CharacterStats("crashies",0.28,0.17,140,0.68,80,"シーカー",45,0),</v>
      </c>
      <c r="Q55" t="str">
        <v>Flashback</v>
      </c>
      <c r="R55" s="11">
        <v>0.38</v>
      </c>
      <c r="S55" s="11">
        <v>0.22</v>
      </c>
      <c r="T55" s="10">
        <v>79</v>
      </c>
      <c r="U55" s="11">
        <v>0.77</v>
      </c>
      <c r="V55" s="10">
        <v>130</v>
      </c>
      <c r="W55" t="str">
        <v>フラッシュ</v>
      </c>
      <c r="X55">
        <v>70</v>
      </c>
      <c r="Y55" s="10">
        <v>5</v>
      </c>
      <c r="Z55" s="10">
        <v>259.4909090909091</v>
      </c>
      <c r="AA55">
        <v>219.9909090909091</v>
      </c>
    </row>
    <row r="56" spans="1:27" ht="15.75" customHeight="1">
      <c r="A56" s="5" t="s">
        <v>70</v>
      </c>
      <c r="B56" s="5">
        <v>0.17</v>
      </c>
      <c r="C56" s="3">
        <v>0.13</v>
      </c>
      <c r="D56" s="5">
        <v>190</v>
      </c>
      <c r="E56" s="5">
        <v>0.63</v>
      </c>
      <c r="F56" s="4">
        <v>70</v>
      </c>
      <c r="G56" t="s">
        <v>15</v>
      </c>
      <c r="H56" s="4">
        <v>10</v>
      </c>
      <c r="I56" s="4">
        <v>0</v>
      </c>
      <c r="J56" s="4">
        <f t="shared" si="1"/>
        <v>226.91818181818181</v>
      </c>
      <c r="K56" s="10">
        <f t="shared" si="2"/>
        <v>131.91818181818181</v>
      </c>
      <c r="L56">
        <v>1</v>
      </c>
      <c r="M56" s="12" t="str">
        <f t="shared" si="0"/>
        <v>"FNS": CharacterStats("FNS",0.17,0.13,190,0.63,70,"スモーカー",10,0),</v>
      </c>
      <c r="Q56" t="str">
        <v>Mako</v>
      </c>
      <c r="R56" s="11">
        <v>0.28000000000000003</v>
      </c>
      <c r="S56" s="11">
        <v>0.16</v>
      </c>
      <c r="T56" s="10">
        <v>120</v>
      </c>
      <c r="U56" s="11">
        <v>0.7</v>
      </c>
      <c r="V56" s="10">
        <v>85</v>
      </c>
      <c r="W56" t="str">
        <v>スモーカー</v>
      </c>
      <c r="X56">
        <v>50</v>
      </c>
      <c r="Y56" s="10">
        <v>5</v>
      </c>
      <c r="Z56" s="10">
        <v>227.23636363636362</v>
      </c>
      <c r="AA56">
        <v>167.23636363636362</v>
      </c>
    </row>
    <row r="57" spans="1:27" ht="15.75" customHeight="1">
      <c r="A57" s="5" t="s">
        <v>71</v>
      </c>
      <c r="B57" s="5">
        <v>0.28999999999999998</v>
      </c>
      <c r="C57" s="5">
        <v>0.18</v>
      </c>
      <c r="D57" s="5">
        <v>125</v>
      </c>
      <c r="E57" s="5">
        <v>0.71</v>
      </c>
      <c r="F57" s="4">
        <v>88</v>
      </c>
      <c r="G57" t="s">
        <v>15</v>
      </c>
      <c r="H57" s="4">
        <v>50</v>
      </c>
      <c r="I57" s="4">
        <v>9</v>
      </c>
      <c r="J57" s="4">
        <f t="shared" si="1"/>
        <v>237.10000000000002</v>
      </c>
      <c r="K57" s="10">
        <f t="shared" si="2"/>
        <v>174.6</v>
      </c>
      <c r="L57">
        <v>1</v>
      </c>
      <c r="M57" s="12" t="str">
        <f t="shared" si="0"/>
        <v>"nAts": CharacterStats("nAts",0.29,0.18,125,0.71,88,"スモーカー",50,9),</v>
      </c>
      <c r="Q57" t="str">
        <v>trent</v>
      </c>
      <c r="R57" s="11">
        <v>0.3</v>
      </c>
      <c r="S57" s="11">
        <v>0.18</v>
      </c>
      <c r="T57" s="10">
        <v>120</v>
      </c>
      <c r="U57" s="11">
        <v>0.71</v>
      </c>
      <c r="V57" s="10">
        <v>85</v>
      </c>
      <c r="W57" t="str">
        <v>シーカー</v>
      </c>
      <c r="X57">
        <v>40</v>
      </c>
      <c r="Y57" s="10">
        <v>5</v>
      </c>
      <c r="Z57" s="10">
        <v>234.5363636363636</v>
      </c>
      <c r="AA57">
        <v>174.5363636363636</v>
      </c>
    </row>
    <row r="58" spans="1:27" ht="15.75" customHeight="1">
      <c r="A58" s="5" t="s">
        <v>72</v>
      </c>
      <c r="B58" s="5">
        <v>0.34</v>
      </c>
      <c r="C58" s="5">
        <v>0.18</v>
      </c>
      <c r="D58" s="5">
        <v>85</v>
      </c>
      <c r="E58" s="5">
        <v>0.73</v>
      </c>
      <c r="F58" s="4">
        <v>123</v>
      </c>
      <c r="G58" t="s">
        <v>17</v>
      </c>
      <c r="H58" s="4">
        <v>50</v>
      </c>
      <c r="I58" s="4">
        <v>4</v>
      </c>
      <c r="J58" s="4">
        <f t="shared" si="1"/>
        <v>242.1090909090909</v>
      </c>
      <c r="K58" s="10">
        <f t="shared" si="2"/>
        <v>199.6090909090909</v>
      </c>
      <c r="L58">
        <v>1</v>
      </c>
      <c r="M58" s="12" t="str">
        <f t="shared" si="0"/>
        <v>"Lar0k": CharacterStats("Lar0k",0.34,0.18,85,0.73,123,"タイガー",50,4),</v>
      </c>
      <c r="Q58" t="str">
        <v>leaf</v>
      </c>
      <c r="R58" s="11">
        <v>0.38</v>
      </c>
      <c r="S58" s="11">
        <v>0.17</v>
      </c>
      <c r="T58" s="10">
        <v>89</v>
      </c>
      <c r="U58" s="11">
        <v>0.74</v>
      </c>
      <c r="V58" s="10">
        <v>80</v>
      </c>
      <c r="W58" t="str">
        <v>フラッシュ</v>
      </c>
      <c r="X58">
        <v>40</v>
      </c>
      <c r="Y58" s="10">
        <v>5</v>
      </c>
      <c r="Z58" s="10">
        <v>229.36363636363637</v>
      </c>
      <c r="AA58">
        <v>184.86363636363637</v>
      </c>
    </row>
    <row r="59" spans="1:27" ht="15.75" customHeight="1">
      <c r="A59" s="5" t="s">
        <v>73</v>
      </c>
      <c r="B59" s="5">
        <v>0.31</v>
      </c>
      <c r="C59" s="5">
        <v>0.17</v>
      </c>
      <c r="D59" s="5">
        <v>105</v>
      </c>
      <c r="E59" s="5">
        <v>0.71</v>
      </c>
      <c r="F59" s="4">
        <v>100</v>
      </c>
      <c r="G59" t="s">
        <v>15</v>
      </c>
      <c r="H59" s="4">
        <v>50</v>
      </c>
      <c r="I59" s="4">
        <v>6</v>
      </c>
      <c r="J59" s="4">
        <f t="shared" si="1"/>
        <v>233.45454545454544</v>
      </c>
      <c r="K59" s="10">
        <f t="shared" si="2"/>
        <v>180.95454545454544</v>
      </c>
      <c r="L59">
        <v>1</v>
      </c>
      <c r="M59" s="12" t="str">
        <f t="shared" si="0"/>
        <v>"skuba": CharacterStats("skuba",0.31,0.17,105,0.71,100,"スモーカー",50,6),</v>
      </c>
      <c r="Q59" t="str">
        <v>Dep</v>
      </c>
      <c r="R59" s="11">
        <v>0.33</v>
      </c>
      <c r="S59" s="11">
        <v>0.22</v>
      </c>
      <c r="T59" s="10">
        <v>75</v>
      </c>
      <c r="U59" s="11">
        <v>0.73</v>
      </c>
      <c r="V59" s="10">
        <v>100</v>
      </c>
      <c r="W59" t="str">
        <v>タイガー</v>
      </c>
      <c r="X59">
        <v>50</v>
      </c>
      <c r="Y59" s="10">
        <v>5</v>
      </c>
      <c r="Z59" s="10">
        <v>232.15454545454543</v>
      </c>
      <c r="AA59">
        <v>194.65454545454543</v>
      </c>
    </row>
    <row r="60" spans="1:27" ht="15.75" customHeight="1">
      <c r="A60" s="5" t="s">
        <v>74</v>
      </c>
      <c r="B60" s="5">
        <v>0.28000000000000003</v>
      </c>
      <c r="C60" s="5">
        <v>0.16</v>
      </c>
      <c r="D60" s="5">
        <v>120</v>
      </c>
      <c r="E60" s="5">
        <v>0.69</v>
      </c>
      <c r="F60" s="4">
        <v>95</v>
      </c>
      <c r="G60" t="s">
        <v>19</v>
      </c>
      <c r="H60" s="4">
        <v>60</v>
      </c>
      <c r="I60" s="4">
        <v>9</v>
      </c>
      <c r="J60" s="4">
        <f t="shared" si="1"/>
        <v>230.4818181818182</v>
      </c>
      <c r="K60" s="10">
        <f t="shared" si="2"/>
        <v>170.48181818181817</v>
      </c>
      <c r="L60">
        <v>1</v>
      </c>
      <c r="M60" s="12" t="str">
        <f t="shared" si="0"/>
        <v>"C0M": CharacterStats("C0M",0.28,0.16,120,0.69,95,"シーカー",60,9),</v>
      </c>
      <c r="Q60" t="str">
        <v>SugarZ3ro</v>
      </c>
      <c r="R60" s="11">
        <v>0.28999999999999998</v>
      </c>
      <c r="S60" s="11">
        <v>0.18</v>
      </c>
      <c r="T60" s="10">
        <v>120</v>
      </c>
      <c r="U60" s="11">
        <v>0.65</v>
      </c>
      <c r="V60" s="10">
        <v>93</v>
      </c>
      <c r="W60" t="str">
        <v>スモーカー</v>
      </c>
      <c r="X60">
        <v>40</v>
      </c>
      <c r="Y60" s="10">
        <v>5</v>
      </c>
      <c r="Z60" s="10">
        <v>229.07272727272726</v>
      </c>
      <c r="AA60">
        <v>169.07272727272726</v>
      </c>
    </row>
    <row r="61" spans="1:27" ht="15.75" customHeight="1">
      <c r="A61" s="5" t="s">
        <v>75</v>
      </c>
      <c r="B61" s="5">
        <v>0.34</v>
      </c>
      <c r="C61" s="5">
        <v>0.23</v>
      </c>
      <c r="D61" s="5">
        <v>105</v>
      </c>
      <c r="E61" s="5">
        <v>0.74</v>
      </c>
      <c r="F61" s="4">
        <v>105</v>
      </c>
      <c r="G61" t="s">
        <v>13</v>
      </c>
      <c r="H61" s="4">
        <v>55</v>
      </c>
      <c r="I61" s="4">
        <v>4</v>
      </c>
      <c r="J61" s="4">
        <f t="shared" si="1"/>
        <v>253.72727272727272</v>
      </c>
      <c r="K61" s="10">
        <f t="shared" si="2"/>
        <v>201.22727272727272</v>
      </c>
      <c r="L61">
        <v>1</v>
      </c>
      <c r="M61" s="12" t="str">
        <f t="shared" si="0"/>
        <v>"mada": CharacterStats("mada",0.34,0.23,105,0.74,105,"フラッシュ",55,4),</v>
      </c>
      <c r="Q61" t="str">
        <v>Buzz</v>
      </c>
      <c r="R61" s="11">
        <v>0.3</v>
      </c>
      <c r="S61" s="11">
        <v>0.23</v>
      </c>
      <c r="T61" s="10">
        <v>80</v>
      </c>
      <c r="U61" s="11">
        <v>0.72</v>
      </c>
      <c r="V61" s="10">
        <v>100</v>
      </c>
      <c r="W61" t="str">
        <v>タイガー</v>
      </c>
      <c r="X61">
        <v>60</v>
      </c>
      <c r="Y61" s="10">
        <v>5</v>
      </c>
      <c r="Z61" s="10">
        <v>231.15454545454543</v>
      </c>
      <c r="AA61">
        <v>191.15454545454543</v>
      </c>
    </row>
    <row r="62" spans="1:27" ht="15.75" customHeight="1">
      <c r="A62" s="5" t="s">
        <v>76</v>
      </c>
      <c r="B62" s="5">
        <v>0.3</v>
      </c>
      <c r="C62" s="5">
        <v>0.23</v>
      </c>
      <c r="D62" s="5">
        <v>145</v>
      </c>
      <c r="E62" s="5">
        <v>0.7</v>
      </c>
      <c r="F62" s="4">
        <v>116</v>
      </c>
      <c r="G62" t="s">
        <v>15</v>
      </c>
      <c r="H62" s="4">
        <v>55</v>
      </c>
      <c r="I62" s="4">
        <v>7</v>
      </c>
      <c r="J62" s="4">
        <f t="shared" si="1"/>
        <v>268.32727272727266</v>
      </c>
      <c r="K62" s="10">
        <f t="shared" si="2"/>
        <v>195.82727272727269</v>
      </c>
      <c r="L62">
        <v>1</v>
      </c>
      <c r="M62" s="12" t="str">
        <f t="shared" si="0"/>
        <v>"s0m": CharacterStats("s0m",0.3,0.23,145,0.7,116,"スモーカー",55,7),</v>
      </c>
      <c r="Q62" t="str">
        <v>Lisa</v>
      </c>
      <c r="R62" s="11">
        <v>0.36</v>
      </c>
      <c r="S62" s="11">
        <v>0.25</v>
      </c>
      <c r="T62" s="10">
        <v>120</v>
      </c>
      <c r="U62" s="11">
        <v>0.78</v>
      </c>
      <c r="V62" s="10">
        <v>99</v>
      </c>
      <c r="W62" t="str">
        <v>スモーカー</v>
      </c>
      <c r="X62">
        <v>40</v>
      </c>
      <c r="Y62" s="10">
        <v>5</v>
      </c>
      <c r="Z62" s="10">
        <v>269.7</v>
      </c>
      <c r="AA62">
        <v>209.7</v>
      </c>
    </row>
    <row r="63" spans="1:27" ht="15.75" customHeight="1">
      <c r="A63" s="5" t="s">
        <v>77</v>
      </c>
      <c r="B63" s="5">
        <v>0.4</v>
      </c>
      <c r="C63" s="3">
        <v>0.31</v>
      </c>
      <c r="D63" s="5">
        <v>70</v>
      </c>
      <c r="E63" s="5">
        <v>0.75</v>
      </c>
      <c r="F63" s="4">
        <v>130</v>
      </c>
      <c r="G63" t="s">
        <v>17</v>
      </c>
      <c r="H63" s="4">
        <v>100</v>
      </c>
      <c r="I63" s="4">
        <v>10</v>
      </c>
      <c r="J63" s="4">
        <f t="shared" si="1"/>
        <v>270.29090909090905</v>
      </c>
      <c r="K63" s="10">
        <f t="shared" si="2"/>
        <v>235.29090909090908</v>
      </c>
      <c r="L63">
        <v>1</v>
      </c>
      <c r="M63" s="12" t="str">
        <f t="shared" si="0"/>
        <v>"Lohen": CharacterStats("Lohen",0.4,0.31,70,0.75,130,"タイガー",100,10),</v>
      </c>
      <c r="Q63" t="str">
        <v>Jean</v>
      </c>
      <c r="R63" s="11">
        <v>0.35</v>
      </c>
      <c r="S63" s="11">
        <v>0.2</v>
      </c>
      <c r="T63" s="10">
        <v>115</v>
      </c>
      <c r="U63" s="11">
        <v>0.75</v>
      </c>
      <c r="V63" s="10">
        <v>135</v>
      </c>
      <c r="W63" t="str">
        <v>シーカー</v>
      </c>
      <c r="X63">
        <v>40</v>
      </c>
      <c r="Y63" s="10">
        <v>5</v>
      </c>
      <c r="Z63" s="10">
        <v>269.86363636363637</v>
      </c>
      <c r="AA63">
        <v>212.36363636363637</v>
      </c>
    </row>
    <row r="64" spans="1:27" ht="15.75" customHeight="1">
      <c r="A64" s="5" t="s">
        <v>78</v>
      </c>
      <c r="B64" s="5">
        <v>0.28999999999999998</v>
      </c>
      <c r="C64" s="5">
        <v>0.09</v>
      </c>
      <c r="D64" s="5">
        <v>149</v>
      </c>
      <c r="E64" s="5">
        <v>0.69</v>
      </c>
      <c r="F64" s="4">
        <v>129</v>
      </c>
      <c r="G64" t="s">
        <v>13</v>
      </c>
      <c r="H64" s="4">
        <v>20</v>
      </c>
      <c r="I64" s="4">
        <v>0</v>
      </c>
      <c r="J64" s="4">
        <f t="shared" si="1"/>
        <v>249.83636363636361</v>
      </c>
      <c r="K64" s="10">
        <f t="shared" si="2"/>
        <v>175.33636363636361</v>
      </c>
      <c r="L64">
        <v>1</v>
      </c>
      <c r="M64" s="12" t="str">
        <f t="shared" si="0"/>
        <v>"Furina": CharacterStats("Furina",0.29,0.09,149,0.69,129,"フラッシュ",20,0),</v>
      </c>
      <c r="Q64" t="str">
        <v>Crewn</v>
      </c>
      <c r="R64" s="11">
        <v>0.25</v>
      </c>
      <c r="S64" s="11">
        <v>0.25</v>
      </c>
      <c r="T64" s="10">
        <v>135</v>
      </c>
      <c r="U64" s="11">
        <v>0.75</v>
      </c>
      <c r="V64" s="10">
        <v>115</v>
      </c>
      <c r="W64" t="str">
        <v>スモーカー</v>
      </c>
      <c r="X64">
        <v>65</v>
      </c>
      <c r="Y64" s="10">
        <v>5</v>
      </c>
      <c r="Z64" s="10">
        <v>266.27272727272725</v>
      </c>
      <c r="AA64">
        <v>198.77272727272725</v>
      </c>
    </row>
    <row r="65" spans="1:27" ht="15.75" customHeight="1">
      <c r="A65" s="5" t="s">
        <v>79</v>
      </c>
      <c r="B65" s="5">
        <v>0.36</v>
      </c>
      <c r="C65" s="5">
        <v>0.25</v>
      </c>
      <c r="D65" s="5">
        <v>120</v>
      </c>
      <c r="E65" s="5">
        <v>0.78</v>
      </c>
      <c r="F65" s="4">
        <v>99</v>
      </c>
      <c r="G65" t="s">
        <v>15</v>
      </c>
      <c r="H65" s="4">
        <v>40</v>
      </c>
      <c r="I65" s="4">
        <v>5</v>
      </c>
      <c r="J65" s="4">
        <f t="shared" si="1"/>
        <v>269.7</v>
      </c>
      <c r="K65" s="10">
        <f t="shared" si="2"/>
        <v>209.7</v>
      </c>
      <c r="L65">
        <v>1</v>
      </c>
      <c r="M65" s="12" t="str">
        <f t="shared" ref="M65:M90" si="3">""""&amp;A65&amp;""": CharacterStats("""&amp;A65&amp;""","&amp;B65&amp;","&amp;C65&amp;","&amp;D65&amp;","&amp;E65&amp;","&amp;F65&amp;","&amp;""""&amp;G65&amp;""","&amp;H65&amp;","&amp;I65&amp;"),"</f>
        <v>"Lisa": CharacterStats("Lisa",0.36,0.25,120,0.78,99,"スモーカー",40,5),</v>
      </c>
      <c r="Q65" t="str">
        <v>ろびぃな</v>
      </c>
      <c r="R65" s="11">
        <v>0.25</v>
      </c>
      <c r="S65" s="11">
        <v>0.55000000000000004</v>
      </c>
      <c r="T65" s="10">
        <v>80</v>
      </c>
      <c r="U65" s="11">
        <v>0.65</v>
      </c>
      <c r="V65" s="10">
        <v>122</v>
      </c>
      <c r="W65" t="str">
        <v>スモーカー</v>
      </c>
      <c r="X65">
        <v>50</v>
      </c>
      <c r="Y65" s="10">
        <v>5</v>
      </c>
      <c r="Z65" s="10">
        <v>279.95454545454544</v>
      </c>
      <c r="AA65">
        <v>239.95454545454544</v>
      </c>
    </row>
    <row r="66" spans="1:27" ht="15.75" customHeight="1">
      <c r="A66" s="5" t="s">
        <v>80</v>
      </c>
      <c r="B66" s="5">
        <v>0.35</v>
      </c>
      <c r="C66" s="5">
        <v>0.2</v>
      </c>
      <c r="D66" s="5">
        <v>115</v>
      </c>
      <c r="E66" s="5">
        <v>0.75</v>
      </c>
      <c r="F66" s="4">
        <v>135</v>
      </c>
      <c r="G66" t="s">
        <v>19</v>
      </c>
      <c r="H66" s="4">
        <v>40</v>
      </c>
      <c r="I66" s="4">
        <v>5</v>
      </c>
      <c r="J66" s="4">
        <f t="shared" si="1"/>
        <v>269.86363636363637</v>
      </c>
      <c r="K66" s="10">
        <f t="shared" si="2"/>
        <v>212.36363636363637</v>
      </c>
      <c r="L66">
        <v>1</v>
      </c>
      <c r="M66" s="12" t="str">
        <f t="shared" si="3"/>
        <v>"Jean": CharacterStats("Jean",0.35,0.2,115,0.75,135,"シーカー",40,5),</v>
      </c>
      <c r="Q66" t="str">
        <v>Demon1</v>
      </c>
      <c r="R66" s="11">
        <v>0.5</v>
      </c>
      <c r="S66" s="11">
        <v>0.13</v>
      </c>
      <c r="T66" s="10">
        <v>78</v>
      </c>
      <c r="U66" s="11">
        <v>0.85</v>
      </c>
      <c r="V66" s="10">
        <v>145</v>
      </c>
      <c r="W66" t="str">
        <v>スモーカー</v>
      </c>
      <c r="X66">
        <v>150</v>
      </c>
      <c r="Y66" s="10">
        <v>4</v>
      </c>
      <c r="Z66" s="10">
        <v>276.5090909090909</v>
      </c>
      <c r="AA66">
        <v>237.50909090909087</v>
      </c>
    </row>
    <row r="67" spans="1:27" ht="15.75" customHeight="1">
      <c r="A67" s="5" t="s">
        <v>81</v>
      </c>
      <c r="B67" s="5">
        <v>0.5</v>
      </c>
      <c r="C67" s="5">
        <v>0.2</v>
      </c>
      <c r="D67" s="5">
        <v>70</v>
      </c>
      <c r="E67" s="5">
        <v>0.9</v>
      </c>
      <c r="F67" s="4">
        <v>100</v>
      </c>
      <c r="G67" t="s">
        <v>17</v>
      </c>
      <c r="H67" s="4">
        <v>40</v>
      </c>
      <c r="I67" s="4">
        <v>3</v>
      </c>
      <c r="J67" s="4">
        <f t="shared" ref="J67:J93" si="4">B67*130+(C67)*170+(D67/2)+(E67-0.2)*130+(F67/2.2)</f>
        <v>270.45454545454544</v>
      </c>
      <c r="K67" s="10">
        <f t="shared" ref="K67:K93" si="5">B67*130+(C67)*170+(E67-0.2)*130+(F67/2.2)</f>
        <v>235.45454545454544</v>
      </c>
      <c r="L67">
        <v>1</v>
      </c>
      <c r="M67" s="12" t="str">
        <f t="shared" si="3"/>
        <v>"Kachina": CharacterStats("Kachina",0.5,0.2,70,0.9,100,"タイガー",40,3),</v>
      </c>
      <c r="Q67" t="str">
        <v>Alfajer</v>
      </c>
      <c r="R67" s="11">
        <v>0.45</v>
      </c>
      <c r="S67" s="11">
        <v>0.13</v>
      </c>
      <c r="T67" s="10">
        <v>60</v>
      </c>
      <c r="U67" s="11">
        <v>0.91</v>
      </c>
      <c r="V67" s="10">
        <v>145</v>
      </c>
      <c r="W67" t="str">
        <v>タイガー</v>
      </c>
      <c r="X67">
        <v>60</v>
      </c>
      <c r="Y67" s="10">
        <v>4</v>
      </c>
      <c r="Z67" s="10">
        <v>268.80909090909086</v>
      </c>
      <c r="AA67">
        <v>238.80909090909088</v>
      </c>
    </row>
    <row r="68" spans="1:27" ht="15.75" customHeight="1">
      <c r="A68" s="5" t="s">
        <v>82</v>
      </c>
      <c r="B68" s="5">
        <v>0.28000000000000003</v>
      </c>
      <c r="C68" s="5">
        <v>0.16</v>
      </c>
      <c r="D68" s="5">
        <v>110</v>
      </c>
      <c r="E68" s="5">
        <v>0.75</v>
      </c>
      <c r="F68" s="4">
        <v>115</v>
      </c>
      <c r="G68" t="s">
        <v>19</v>
      </c>
      <c r="H68" s="4">
        <v>50</v>
      </c>
      <c r="I68" s="4">
        <v>10</v>
      </c>
      <c r="J68" s="4">
        <f t="shared" si="4"/>
        <v>242.37272727272727</v>
      </c>
      <c r="K68" s="10">
        <f t="shared" si="5"/>
        <v>187.37272727272727</v>
      </c>
      <c r="L68">
        <v>1</v>
      </c>
      <c r="M68" s="12" t="str">
        <f t="shared" si="3"/>
        <v>"IbarakiNinja": CharacterStats("IbarakiNinja",0.28,0.16,110,0.75,115,"シーカー",50,10),</v>
      </c>
      <c r="Q68" t="str">
        <v>Jinggg</v>
      </c>
      <c r="R68" s="11">
        <v>0.3</v>
      </c>
      <c r="S68" s="11">
        <v>0.26</v>
      </c>
      <c r="T68" s="10">
        <v>68</v>
      </c>
      <c r="U68" s="11">
        <v>0.71</v>
      </c>
      <c r="V68" s="10">
        <v>90</v>
      </c>
      <c r="W68" t="str">
        <v>タイガー</v>
      </c>
      <c r="X68">
        <v>50</v>
      </c>
      <c r="Y68" s="10">
        <v>4</v>
      </c>
      <c r="Z68" s="10">
        <v>224.40909090909091</v>
      </c>
      <c r="AA68">
        <v>190.40909090909091</v>
      </c>
    </row>
    <row r="69" spans="1:27" ht="15.75" customHeight="1">
      <c r="A69" s="5" t="s">
        <v>83</v>
      </c>
      <c r="B69" s="5">
        <v>0.45</v>
      </c>
      <c r="C69" s="5">
        <v>0.17</v>
      </c>
      <c r="D69" s="5">
        <v>85</v>
      </c>
      <c r="E69" s="5">
        <v>0.8</v>
      </c>
      <c r="F69" s="4">
        <v>147</v>
      </c>
      <c r="G69" t="s">
        <v>17</v>
      </c>
      <c r="H69" s="4">
        <v>80</v>
      </c>
      <c r="I69" s="4">
        <v>7</v>
      </c>
      <c r="J69" s="4">
        <f t="shared" si="4"/>
        <v>274.71818181818185</v>
      </c>
      <c r="K69" s="10">
        <f t="shared" si="5"/>
        <v>232.21818181818185</v>
      </c>
      <c r="L69">
        <v>1</v>
      </c>
      <c r="M69" s="12" t="str">
        <f t="shared" si="3"/>
        <v>"Canezerra": CharacterStats("Canezerra",0.45,0.17,85,0.8,147,"タイガー",80,7),</v>
      </c>
      <c r="Q69" t="str">
        <v>Ethan</v>
      </c>
      <c r="R69" s="11">
        <v>0.3</v>
      </c>
      <c r="S69" s="11">
        <v>0.18</v>
      </c>
      <c r="T69" s="10">
        <v>150</v>
      </c>
      <c r="U69" s="11">
        <v>0.8</v>
      </c>
      <c r="V69" s="10">
        <v>90</v>
      </c>
      <c r="W69" t="str">
        <v>シーカー</v>
      </c>
      <c r="X69">
        <v>55</v>
      </c>
      <c r="Y69" s="10">
        <v>4</v>
      </c>
      <c r="Z69" s="10">
        <v>263.5090909090909</v>
      </c>
      <c r="AA69">
        <v>188.50909090909093</v>
      </c>
    </row>
    <row r="70" spans="1:27" ht="15.75" customHeight="1">
      <c r="A70" s="5" t="s">
        <v>84</v>
      </c>
      <c r="B70" s="5">
        <v>0.47</v>
      </c>
      <c r="C70" s="5">
        <v>0.19</v>
      </c>
      <c r="D70" s="5">
        <v>135</v>
      </c>
      <c r="E70" s="5">
        <v>0.6</v>
      </c>
      <c r="F70" s="4">
        <v>125</v>
      </c>
      <c r="G70" t="s">
        <v>17</v>
      </c>
      <c r="H70" s="4">
        <v>100</v>
      </c>
      <c r="I70" s="4">
        <v>1</v>
      </c>
      <c r="J70" s="4">
        <f t="shared" si="4"/>
        <v>269.71818181818179</v>
      </c>
      <c r="K70" s="10">
        <f t="shared" si="5"/>
        <v>202.21818181818179</v>
      </c>
      <c r="L70">
        <v>1</v>
      </c>
      <c r="M70" s="12" t="str">
        <f t="shared" si="3"/>
        <v>"Arlecchino": CharacterStats("Arlecchino",0.47,0.19,135,0.6,125,"タイガー",100,1),</v>
      </c>
      <c r="Q70" t="str">
        <v>Rb</v>
      </c>
      <c r="R70" s="11">
        <v>0.28999999999999998</v>
      </c>
      <c r="S70" s="11">
        <v>0.23</v>
      </c>
      <c r="T70" s="10">
        <v>110</v>
      </c>
      <c r="U70" s="11">
        <v>0.69</v>
      </c>
      <c r="V70" s="10">
        <v>80</v>
      </c>
      <c r="W70" t="str">
        <v>スモーカー</v>
      </c>
      <c r="X70">
        <v>40</v>
      </c>
      <c r="Y70" s="10">
        <v>4</v>
      </c>
      <c r="Z70" s="10">
        <v>231.86363636363637</v>
      </c>
      <c r="AA70">
        <v>176.86363636363637</v>
      </c>
    </row>
    <row r="71" spans="1:27" ht="15.75" customHeight="1">
      <c r="A71" s="5" t="s">
        <v>85</v>
      </c>
      <c r="B71" s="5">
        <v>0.36</v>
      </c>
      <c r="C71" s="5">
        <v>0.21</v>
      </c>
      <c r="D71" s="5">
        <v>130</v>
      </c>
      <c r="E71" s="5">
        <v>0.78</v>
      </c>
      <c r="F71" s="4">
        <v>80</v>
      </c>
      <c r="G71" t="s">
        <v>19</v>
      </c>
      <c r="H71" s="4">
        <v>50</v>
      </c>
      <c r="I71" s="4">
        <v>9</v>
      </c>
      <c r="J71" s="4">
        <f t="shared" si="4"/>
        <v>259.26363636363635</v>
      </c>
      <c r="K71" s="10">
        <f t="shared" si="5"/>
        <v>194.26363636363635</v>
      </c>
      <c r="L71">
        <v>1</v>
      </c>
      <c r="M71" s="12" t="str">
        <f t="shared" si="3"/>
        <v>"WsLeo": CharacterStats("WsLeo",0.36,0.21,130,0.78,80,"シーカー",50,9),</v>
      </c>
      <c r="Q71" t="str">
        <v>stax</v>
      </c>
      <c r="R71" s="11">
        <v>0.28999999999999998</v>
      </c>
      <c r="S71" s="11">
        <v>0.15</v>
      </c>
      <c r="T71" s="10">
        <v>130</v>
      </c>
      <c r="U71" s="11">
        <v>0.69</v>
      </c>
      <c r="V71" s="10">
        <v>80</v>
      </c>
      <c r="W71" t="str">
        <v>フラッシュ</v>
      </c>
      <c r="X71">
        <v>70</v>
      </c>
      <c r="Y71" s="10">
        <v>4</v>
      </c>
      <c r="Z71" s="10">
        <v>228.26363636363635</v>
      </c>
      <c r="AA71">
        <v>163.26363636363635</v>
      </c>
    </row>
    <row r="72" spans="1:27" ht="15.75" customHeight="1">
      <c r="A72" s="5" t="s">
        <v>86</v>
      </c>
      <c r="B72" s="5">
        <v>0.5</v>
      </c>
      <c r="C72" s="5">
        <v>0.25</v>
      </c>
      <c r="D72" s="4">
        <v>75</v>
      </c>
      <c r="E72">
        <v>0.76</v>
      </c>
      <c r="F72" s="4">
        <v>121</v>
      </c>
      <c r="G72" t="s">
        <v>19</v>
      </c>
      <c r="H72">
        <v>100</v>
      </c>
      <c r="I72" s="4">
        <v>9</v>
      </c>
      <c r="J72" s="4">
        <f t="shared" si="4"/>
        <v>272.8</v>
      </c>
      <c r="K72" s="10">
        <f t="shared" si="5"/>
        <v>235.3</v>
      </c>
      <c r="L72">
        <v>1</v>
      </c>
      <c r="M72" s="12" t="str">
        <f t="shared" si="3"/>
        <v>"Zest": CharacterStats("Zest",0.5,0.25,75,0.76,121,"シーカー",100,9),</v>
      </c>
      <c r="P72" s="10"/>
      <c r="Q72" s="10" t="str">
        <v>Lar0k</v>
      </c>
      <c r="R72" s="11">
        <v>0.34</v>
      </c>
      <c r="S72" s="11">
        <v>0.18</v>
      </c>
      <c r="T72" s="10">
        <v>85</v>
      </c>
      <c r="U72" s="11">
        <v>0.73</v>
      </c>
      <c r="V72" s="10">
        <v>123</v>
      </c>
      <c r="W72" t="str">
        <v>タイガー</v>
      </c>
      <c r="X72">
        <v>50</v>
      </c>
      <c r="Y72" s="10">
        <v>4</v>
      </c>
      <c r="Z72" s="10">
        <v>242.1090909090909</v>
      </c>
      <c r="AA72">
        <v>199.6090909090909</v>
      </c>
    </row>
    <row r="73" spans="1:27" ht="15.75" customHeight="1">
      <c r="A73" s="5" t="s">
        <v>87</v>
      </c>
      <c r="B73" s="5">
        <v>0.55000000000000004</v>
      </c>
      <c r="C73" s="5">
        <v>0.15</v>
      </c>
      <c r="D73" s="4">
        <v>75</v>
      </c>
      <c r="E73">
        <v>0.72</v>
      </c>
      <c r="F73" s="4">
        <v>150</v>
      </c>
      <c r="G73" t="s">
        <v>13</v>
      </c>
      <c r="H73">
        <v>80</v>
      </c>
      <c r="I73" s="4">
        <v>7</v>
      </c>
      <c r="J73" s="4">
        <f t="shared" si="4"/>
        <v>270.28181818181821</v>
      </c>
      <c r="K73" s="10">
        <f t="shared" si="5"/>
        <v>232.78181818181821</v>
      </c>
      <c r="L73">
        <v>1</v>
      </c>
      <c r="M73" s="12" t="str">
        <f t="shared" si="3"/>
        <v>"Tartaglia": CharacterStats("Tartaglia",0.55,0.15,75,0.72,150,"フラッシュ",80,7),</v>
      </c>
      <c r="P73" s="10"/>
      <c r="Q73" s="10" t="str">
        <v>mada</v>
      </c>
      <c r="R73" s="11">
        <v>0.34</v>
      </c>
      <c r="S73" s="11">
        <v>0.23</v>
      </c>
      <c r="T73" s="10">
        <v>105</v>
      </c>
      <c r="U73" s="11">
        <v>0.74</v>
      </c>
      <c r="V73" s="10">
        <v>105</v>
      </c>
      <c r="W73" t="str">
        <v>フラッシュ</v>
      </c>
      <c r="X73">
        <v>55</v>
      </c>
      <c r="Y73" s="10">
        <v>4</v>
      </c>
      <c r="Z73" s="10">
        <v>253.72727272727272</v>
      </c>
      <c r="AA73">
        <v>201.22727272727272</v>
      </c>
    </row>
    <row r="74" spans="1:27" ht="15.75" customHeight="1">
      <c r="A74" s="5" t="s">
        <v>88</v>
      </c>
      <c r="B74" s="5">
        <v>0.5</v>
      </c>
      <c r="C74" s="5">
        <v>0.2</v>
      </c>
      <c r="D74" s="4">
        <v>120</v>
      </c>
      <c r="E74">
        <v>0.65</v>
      </c>
      <c r="F74" s="4">
        <v>80</v>
      </c>
      <c r="G74" t="s">
        <v>15</v>
      </c>
      <c r="H74">
        <v>70</v>
      </c>
      <c r="I74" s="4">
        <v>8</v>
      </c>
      <c r="J74" s="4">
        <f t="shared" si="4"/>
        <v>253.86363636363637</v>
      </c>
      <c r="K74" s="10">
        <f t="shared" si="5"/>
        <v>193.86363636363637</v>
      </c>
      <c r="L74">
        <v>1</v>
      </c>
      <c r="M74" s="12" t="str">
        <f t="shared" si="3"/>
        <v>"Nanasaki": CharacterStats("Nanasaki",0.5,0.2,120,0.65,80,"スモーカー",70,8),</v>
      </c>
      <c r="P74" s="10"/>
      <c r="Q74" s="10" t="str">
        <v>vo0kashu</v>
      </c>
      <c r="R74" s="11">
        <v>0.35</v>
      </c>
      <c r="S74" s="11">
        <v>0.23</v>
      </c>
      <c r="T74" s="10">
        <v>80</v>
      </c>
      <c r="U74" s="11">
        <v>0.76</v>
      </c>
      <c r="V74" s="10">
        <v>115</v>
      </c>
      <c r="W74" t="str">
        <v>タイガー</v>
      </c>
      <c r="X74">
        <v>50</v>
      </c>
      <c r="Y74" s="10">
        <v>4</v>
      </c>
      <c r="Z74" s="10">
        <v>249.67272727272729</v>
      </c>
      <c r="AA74">
        <v>209.67272727272729</v>
      </c>
    </row>
    <row r="75" spans="1:27" ht="15.75" customHeight="1">
      <c r="A75" s="5" t="s">
        <v>89</v>
      </c>
      <c r="B75" s="5">
        <v>0.35</v>
      </c>
      <c r="C75" s="5">
        <v>0.22</v>
      </c>
      <c r="D75" s="5">
        <v>86</v>
      </c>
      <c r="E75" s="5">
        <v>0.74</v>
      </c>
      <c r="F75" s="4">
        <v>104</v>
      </c>
      <c r="G75" t="s">
        <v>17</v>
      </c>
      <c r="H75" s="4">
        <v>80</v>
      </c>
      <c r="I75" s="4">
        <v>3</v>
      </c>
      <c r="J75" s="4">
        <f t="shared" si="4"/>
        <v>243.37272727272727</v>
      </c>
      <c r="K75" s="10">
        <f t="shared" si="5"/>
        <v>200.37272727272727</v>
      </c>
      <c r="L75">
        <v>1</v>
      </c>
      <c r="M75" s="12" t="str">
        <f t="shared" si="3"/>
        <v>"Less": CharacterStats("Less",0.35,0.22,86,0.74,104,"タイガー",80,3),</v>
      </c>
      <c r="Q75" t="str">
        <v>marteen</v>
      </c>
      <c r="R75" s="11">
        <v>0.39</v>
      </c>
      <c r="S75" s="11">
        <v>0.2</v>
      </c>
      <c r="T75" s="10">
        <v>80</v>
      </c>
      <c r="U75" s="11">
        <v>0.78</v>
      </c>
      <c r="V75" s="10">
        <v>120</v>
      </c>
      <c r="W75" t="str">
        <v>タイガー</v>
      </c>
      <c r="X75">
        <v>85</v>
      </c>
      <c r="Y75" s="10">
        <v>4</v>
      </c>
      <c r="Z75" s="10">
        <v>254.64545454545456</v>
      </c>
      <c r="AA75">
        <v>214.64545454545456</v>
      </c>
    </row>
    <row r="76" spans="1:27" ht="15.75" customHeight="1">
      <c r="A76" s="5" t="s">
        <v>90</v>
      </c>
      <c r="B76" s="5">
        <v>0.46</v>
      </c>
      <c r="C76" s="5">
        <v>0.2</v>
      </c>
      <c r="D76" s="5">
        <v>85</v>
      </c>
      <c r="E76" s="5">
        <v>0.71</v>
      </c>
      <c r="F76" s="4">
        <v>150</v>
      </c>
      <c r="G76" t="s">
        <v>17</v>
      </c>
      <c r="H76" s="4">
        <v>55</v>
      </c>
      <c r="I76" s="4">
        <v>8</v>
      </c>
      <c r="J76" s="4">
        <f t="shared" si="4"/>
        <v>270.78181818181821</v>
      </c>
      <c r="K76" s="10">
        <f t="shared" si="5"/>
        <v>228.28181818181821</v>
      </c>
      <c r="L76">
        <v>1</v>
      </c>
      <c r="M76" s="12" t="str">
        <f t="shared" si="3"/>
        <v>"WoohyuN": CharacterStats("WoohyuN",0.46,0.2,85,0.71,150,"タイガー",55,8),</v>
      </c>
      <c r="Q76" t="str">
        <v>イグルン</v>
      </c>
      <c r="R76" s="11">
        <v>0.33</v>
      </c>
      <c r="S76" s="11">
        <v>0.22</v>
      </c>
      <c r="T76" s="10">
        <v>75</v>
      </c>
      <c r="U76" s="11">
        <v>0.77</v>
      </c>
      <c r="V76" s="10">
        <v>131</v>
      </c>
      <c r="W76" t="str">
        <v>シーカー</v>
      </c>
      <c r="X76">
        <v>55</v>
      </c>
      <c r="Y76" s="10">
        <v>4</v>
      </c>
      <c r="Z76" s="10">
        <v>251.44545454545454</v>
      </c>
      <c r="AA76">
        <v>213.94545454545454</v>
      </c>
    </row>
    <row r="77" spans="1:27" ht="15.75" customHeight="1">
      <c r="A77" s="5" t="s">
        <v>91</v>
      </c>
      <c r="B77" s="5">
        <v>0.28999999999999998</v>
      </c>
      <c r="C77" s="5">
        <v>0.17</v>
      </c>
      <c r="D77" s="5">
        <v>85</v>
      </c>
      <c r="E77" s="5">
        <v>0.75</v>
      </c>
      <c r="F77" s="4">
        <v>125</v>
      </c>
      <c r="G77" t="s">
        <v>13</v>
      </c>
      <c r="H77" s="4">
        <v>65</v>
      </c>
      <c r="I77" s="4">
        <v>7</v>
      </c>
      <c r="J77" s="4">
        <f t="shared" si="4"/>
        <v>237.41818181818181</v>
      </c>
      <c r="K77" s="10">
        <f t="shared" si="5"/>
        <v>194.91818181818181</v>
      </c>
      <c r="L77">
        <v>1</v>
      </c>
      <c r="M77" s="12" t="str">
        <f t="shared" si="3"/>
        <v>"Asuna": CharacterStats("Asuna",0.29,0.17,85,0.75,125,"フラッシュ",65,7),</v>
      </c>
      <c r="Q77" t="str">
        <v>Chronicle</v>
      </c>
      <c r="R77" s="11">
        <v>0.35</v>
      </c>
      <c r="S77" s="11">
        <v>0.23</v>
      </c>
      <c r="T77" s="10">
        <v>105</v>
      </c>
      <c r="U77" s="11">
        <v>0.78</v>
      </c>
      <c r="V77" s="10">
        <v>135</v>
      </c>
      <c r="W77" t="str">
        <v>フラッシュ</v>
      </c>
      <c r="X77">
        <v>80</v>
      </c>
      <c r="Y77" s="10">
        <v>3</v>
      </c>
      <c r="Z77" s="10">
        <v>273.86363636363637</v>
      </c>
      <c r="AA77">
        <v>221.36363636363637</v>
      </c>
    </row>
    <row r="78" spans="1:27" ht="15.75" customHeight="1">
      <c r="A78" s="5" t="s">
        <v>92</v>
      </c>
      <c r="B78" s="5">
        <v>0.28999999999999998</v>
      </c>
      <c r="C78" s="5">
        <v>0.18</v>
      </c>
      <c r="D78" s="5">
        <v>85</v>
      </c>
      <c r="E78" s="5">
        <v>0.76</v>
      </c>
      <c r="F78" s="4">
        <v>110</v>
      </c>
      <c r="G78" t="s">
        <v>17</v>
      </c>
      <c r="H78" s="4">
        <v>65</v>
      </c>
      <c r="I78" s="4">
        <v>6</v>
      </c>
      <c r="J78" s="4">
        <f t="shared" si="4"/>
        <v>233.60000000000002</v>
      </c>
      <c r="K78" s="10">
        <f t="shared" si="5"/>
        <v>191.10000000000002</v>
      </c>
      <c r="L78">
        <v>1</v>
      </c>
      <c r="M78" s="12" t="str">
        <f t="shared" si="3"/>
        <v>"Cryocells": CharacterStats("Cryocells",0.29,0.18,85,0.76,110,"タイガー",65,6),</v>
      </c>
      <c r="Q78" t="str">
        <v>F0rsakeN</v>
      </c>
      <c r="R78" s="11">
        <v>0.27</v>
      </c>
      <c r="S78" s="11">
        <v>0.14000000000000001</v>
      </c>
      <c r="T78" s="10">
        <v>125</v>
      </c>
      <c r="U78" s="11">
        <v>0.69</v>
      </c>
      <c r="V78" s="10">
        <v>95</v>
      </c>
      <c r="W78" t="str">
        <v>スモーカー</v>
      </c>
      <c r="X78">
        <v>50</v>
      </c>
      <c r="Y78" s="10">
        <v>3</v>
      </c>
      <c r="Z78" s="10">
        <v>228.28181818181818</v>
      </c>
      <c r="AA78">
        <v>165.78181818181818</v>
      </c>
    </row>
    <row r="79" spans="1:27" ht="15.75" customHeight="1">
      <c r="A79" s="5" t="s">
        <v>93</v>
      </c>
      <c r="B79" s="5">
        <v>0.35</v>
      </c>
      <c r="C79" s="5">
        <v>0.23</v>
      </c>
      <c r="D79" s="5">
        <v>80</v>
      </c>
      <c r="E79" s="5">
        <v>0.76</v>
      </c>
      <c r="F79" s="4">
        <v>115</v>
      </c>
      <c r="G79" t="s">
        <v>17</v>
      </c>
      <c r="H79" s="4">
        <v>50</v>
      </c>
      <c r="I79" s="4">
        <v>4</v>
      </c>
      <c r="J79" s="4">
        <f t="shared" si="4"/>
        <v>249.67272727272729</v>
      </c>
      <c r="K79" s="10">
        <f t="shared" si="5"/>
        <v>209.67272727272729</v>
      </c>
      <c r="L79">
        <v>1</v>
      </c>
      <c r="M79" s="12" t="str">
        <f t="shared" si="3"/>
        <v>"vo0kashu": CharacterStats("vo0kashu",0.35,0.23,80,0.76,115,"タイガー",50,4),</v>
      </c>
      <c r="Q79" t="str">
        <v>Jamppi</v>
      </c>
      <c r="R79" s="11">
        <v>0.27</v>
      </c>
      <c r="S79" s="11">
        <v>0.15</v>
      </c>
      <c r="T79" s="10">
        <v>125</v>
      </c>
      <c r="U79" s="11">
        <v>0.68</v>
      </c>
      <c r="V79" s="10">
        <v>85</v>
      </c>
      <c r="W79" t="str">
        <v>フラッシュ</v>
      </c>
      <c r="X79">
        <v>55</v>
      </c>
      <c r="Y79" s="10">
        <v>3</v>
      </c>
      <c r="Z79" s="10">
        <v>224.13636363636363</v>
      </c>
      <c r="AA79">
        <v>161.63636363636363</v>
      </c>
    </row>
    <row r="80" spans="1:27" ht="15.75" customHeight="1">
      <c r="A80" s="5" t="s">
        <v>94</v>
      </c>
      <c r="B80" s="5">
        <v>0.15</v>
      </c>
      <c r="C80" s="5">
        <v>0.31</v>
      </c>
      <c r="D80" s="5">
        <v>130</v>
      </c>
      <c r="E80" s="3">
        <v>0.87</v>
      </c>
      <c r="F80" s="4">
        <v>155</v>
      </c>
      <c r="G80" t="s">
        <v>17</v>
      </c>
      <c r="H80" s="4">
        <v>50</v>
      </c>
      <c r="I80" s="4">
        <v>10</v>
      </c>
      <c r="J80" s="4">
        <f t="shared" si="4"/>
        <v>294.75454545454545</v>
      </c>
      <c r="K80" s="10">
        <f t="shared" si="5"/>
        <v>229.75454545454545</v>
      </c>
      <c r="L80">
        <v>1</v>
      </c>
      <c r="M80" s="12" t="str">
        <f t="shared" si="3"/>
        <v>"Absol": CharacterStats("Absol",0.15,0.31,130,0.87,155,"タイガー",50,10),</v>
      </c>
      <c r="Q80" t="str">
        <v>Kachina</v>
      </c>
      <c r="R80" s="10">
        <v>0.5</v>
      </c>
      <c r="S80" s="10">
        <v>0.2</v>
      </c>
      <c r="T80">
        <v>70</v>
      </c>
      <c r="U80">
        <v>0.9</v>
      </c>
      <c r="V80">
        <v>100</v>
      </c>
      <c r="W80" t="str">
        <v>タイガー</v>
      </c>
      <c r="X80">
        <v>40</v>
      </c>
      <c r="Y80">
        <v>3</v>
      </c>
      <c r="Z80">
        <v>270.45454545454544</v>
      </c>
      <c r="AA80">
        <v>235.45454545454544</v>
      </c>
    </row>
    <row r="81" spans="1:28" ht="15.75" customHeight="1">
      <c r="A81" s="5" t="s">
        <v>95</v>
      </c>
      <c r="B81" s="5">
        <v>0.39</v>
      </c>
      <c r="C81" s="5">
        <v>0.2</v>
      </c>
      <c r="D81" s="5">
        <v>80</v>
      </c>
      <c r="E81" s="3">
        <v>0.78</v>
      </c>
      <c r="F81" s="4">
        <v>120</v>
      </c>
      <c r="G81" t="s">
        <v>17</v>
      </c>
      <c r="H81" s="4">
        <v>85</v>
      </c>
      <c r="I81" s="4">
        <v>4</v>
      </c>
      <c r="J81" s="4">
        <f t="shared" si="4"/>
        <v>254.64545454545456</v>
      </c>
      <c r="K81" s="10">
        <f t="shared" si="5"/>
        <v>214.64545454545456</v>
      </c>
      <c r="L81">
        <v>1</v>
      </c>
      <c r="M81" s="12" t="str">
        <f t="shared" si="3"/>
        <v>"marteen": CharacterStats("marteen",0.39,0.2,80,0.78,120,"タイガー",85,4),</v>
      </c>
      <c r="Q81" t="str">
        <v>Less</v>
      </c>
      <c r="R81" s="10">
        <v>0.35</v>
      </c>
      <c r="S81" s="10">
        <v>0.22</v>
      </c>
      <c r="T81">
        <v>86</v>
      </c>
      <c r="U81">
        <v>0.74</v>
      </c>
      <c r="V81">
        <v>104</v>
      </c>
      <c r="W81" t="str">
        <v>タイガー</v>
      </c>
      <c r="X81">
        <v>80</v>
      </c>
      <c r="Y81">
        <v>3</v>
      </c>
      <c r="Z81">
        <v>243.37272727272727</v>
      </c>
      <c r="AA81">
        <v>200.37272727272727</v>
      </c>
    </row>
    <row r="82" spans="1:28" ht="15.75" customHeight="1">
      <c r="A82" s="5" t="s">
        <v>96</v>
      </c>
      <c r="B82" s="5">
        <v>0.25</v>
      </c>
      <c r="C82" s="5">
        <v>0.25</v>
      </c>
      <c r="D82" s="5">
        <v>135</v>
      </c>
      <c r="E82" s="5">
        <v>0.75</v>
      </c>
      <c r="F82" s="4">
        <v>115</v>
      </c>
      <c r="G82" t="s">
        <v>15</v>
      </c>
      <c r="H82" s="4">
        <v>65</v>
      </c>
      <c r="I82" s="4">
        <v>5</v>
      </c>
      <c r="J82" s="4">
        <f t="shared" si="4"/>
        <v>266.27272727272725</v>
      </c>
      <c r="K82" s="10">
        <f t="shared" si="5"/>
        <v>198.77272727272725</v>
      </c>
      <c r="L82">
        <v>1</v>
      </c>
      <c r="M82" s="12" t="str">
        <f t="shared" si="3"/>
        <v>"Crewn": CharacterStats("Crewn",0.25,0.25,135,0.75,115,"スモーカー",65,5),</v>
      </c>
      <c r="Q82" t="str">
        <v>夢の街</v>
      </c>
      <c r="R82" s="10">
        <v>0.35</v>
      </c>
      <c r="S82" s="10">
        <v>0.23</v>
      </c>
      <c r="T82">
        <v>80</v>
      </c>
      <c r="U82">
        <v>0.76</v>
      </c>
      <c r="V82">
        <v>115</v>
      </c>
      <c r="W82" t="str">
        <v>フラッシュ</v>
      </c>
      <c r="X82">
        <v>50</v>
      </c>
      <c r="Y82">
        <v>3</v>
      </c>
      <c r="Z82">
        <v>249.67272727272729</v>
      </c>
      <c r="AA82">
        <v>209.67272727272729</v>
      </c>
    </row>
    <row r="83" spans="1:28" ht="15.75" customHeight="1">
      <c r="A83" s="5" t="s">
        <v>97</v>
      </c>
      <c r="B83" s="5">
        <v>0.33</v>
      </c>
      <c r="C83" s="5">
        <v>0.22</v>
      </c>
      <c r="D83" s="5">
        <v>111</v>
      </c>
      <c r="E83" s="5">
        <v>0.77</v>
      </c>
      <c r="F83" s="4">
        <v>111</v>
      </c>
      <c r="G83" t="s">
        <v>15</v>
      </c>
      <c r="H83" s="4">
        <v>77</v>
      </c>
      <c r="I83" s="4">
        <v>6</v>
      </c>
      <c r="J83" s="4">
        <f t="shared" si="4"/>
        <v>260.35454545454547</v>
      </c>
      <c r="K83" s="10">
        <f t="shared" si="5"/>
        <v>204.85454545454547</v>
      </c>
      <c r="L83">
        <v>1</v>
      </c>
      <c r="M83" s="12" t="str">
        <f t="shared" si="3"/>
        <v>"Loita": CharacterStats("Loita",0.33,0.22,111,0.77,111,"スモーカー",77,6),</v>
      </c>
      <c r="Q83" t="str">
        <v>Leo</v>
      </c>
      <c r="R83" s="10">
        <v>0.27</v>
      </c>
      <c r="S83" s="10">
        <v>0.22</v>
      </c>
      <c r="T83">
        <v>150</v>
      </c>
      <c r="U83">
        <v>0.83</v>
      </c>
      <c r="V83">
        <v>135</v>
      </c>
      <c r="W83" t="str">
        <v>シーカー</v>
      </c>
      <c r="X83">
        <v>65</v>
      </c>
      <c r="Y83">
        <v>1</v>
      </c>
      <c r="Z83">
        <v>290.76363636363635</v>
      </c>
      <c r="AA83">
        <v>215.76363636363635</v>
      </c>
    </row>
    <row r="84" spans="1:28" ht="15.75" customHeight="1">
      <c r="A84" s="5" t="s">
        <v>98</v>
      </c>
      <c r="B84" s="5">
        <v>0.41</v>
      </c>
      <c r="C84" s="5">
        <v>0.18</v>
      </c>
      <c r="D84" s="5">
        <v>86</v>
      </c>
      <c r="E84" s="5">
        <v>0.81</v>
      </c>
      <c r="F84" s="4">
        <v>170</v>
      </c>
      <c r="G84" t="s">
        <v>17</v>
      </c>
      <c r="H84" s="4">
        <v>110</v>
      </c>
      <c r="I84" s="4">
        <v>10</v>
      </c>
      <c r="J84" s="4">
        <f t="shared" si="4"/>
        <v>283.47272727272724</v>
      </c>
      <c r="K84" s="10">
        <f t="shared" si="5"/>
        <v>240.47272727272724</v>
      </c>
      <c r="L84">
        <v>0</v>
      </c>
      <c r="M84" s="12" t="str">
        <f t="shared" si="3"/>
        <v>"Katarina": CharacterStats("Katarina",0.41,0.18,86,0.81,170,"タイガー",110,10),</v>
      </c>
      <c r="Q84" t="str">
        <v>まーやまくん</v>
      </c>
      <c r="R84" s="10">
        <v>0.75</v>
      </c>
      <c r="S84" s="10">
        <v>0.21</v>
      </c>
      <c r="T84">
        <v>90</v>
      </c>
      <c r="U84">
        <v>0.8</v>
      </c>
      <c r="V84">
        <v>140</v>
      </c>
      <c r="W84" t="str">
        <v>シーカー</v>
      </c>
      <c r="X84">
        <v>50</v>
      </c>
      <c r="Y84">
        <v>1</v>
      </c>
      <c r="Z84">
        <v>319.83636363636361</v>
      </c>
      <c r="AA84">
        <v>274.83636363636361</v>
      </c>
    </row>
    <row r="85" spans="1:28" ht="15.75" customHeight="1">
      <c r="A85" s="5" t="s">
        <v>99</v>
      </c>
      <c r="B85" s="5">
        <v>0.28999999999999998</v>
      </c>
      <c r="C85" s="5">
        <v>0.19</v>
      </c>
      <c r="D85" s="5">
        <v>119</v>
      </c>
      <c r="E85" s="5">
        <v>0.9</v>
      </c>
      <c r="F85" s="4">
        <v>139</v>
      </c>
      <c r="G85" t="s">
        <v>17</v>
      </c>
      <c r="H85" s="4">
        <v>120</v>
      </c>
      <c r="I85" s="4">
        <v>10</v>
      </c>
      <c r="J85" s="4">
        <f t="shared" si="4"/>
        <v>283.68181818181819</v>
      </c>
      <c r="K85" s="10">
        <f t="shared" si="5"/>
        <v>224.18181818181819</v>
      </c>
      <c r="L85">
        <v>0</v>
      </c>
      <c r="M85" s="12" t="str">
        <f t="shared" si="3"/>
        <v>"SereNa": CharacterStats("SereNa",0.29,0.19,119,0.9,139,"タイガー",120,10),</v>
      </c>
      <c r="Q85" t="str">
        <v>Arlecchino</v>
      </c>
      <c r="R85" s="10">
        <v>0.47</v>
      </c>
      <c r="S85" s="10">
        <v>0.19</v>
      </c>
      <c r="T85">
        <v>135</v>
      </c>
      <c r="U85">
        <v>0.6</v>
      </c>
      <c r="V85">
        <v>125</v>
      </c>
      <c r="W85" t="str">
        <v>タイガー</v>
      </c>
      <c r="X85">
        <v>100</v>
      </c>
      <c r="Y85">
        <v>1</v>
      </c>
      <c r="Z85">
        <v>269.71818181818179</v>
      </c>
      <c r="AA85">
        <v>202.21818181818179</v>
      </c>
    </row>
    <row r="86" spans="1:28" ht="15.75" customHeight="1">
      <c r="A86" s="5" t="s">
        <v>100</v>
      </c>
      <c r="B86" s="5">
        <v>0.41</v>
      </c>
      <c r="C86" s="5">
        <v>0.12</v>
      </c>
      <c r="D86" s="5">
        <v>85</v>
      </c>
      <c r="E86" s="5">
        <v>0.95</v>
      </c>
      <c r="F86" s="4">
        <v>155</v>
      </c>
      <c r="G86" t="s">
        <v>17</v>
      </c>
      <c r="H86" s="4">
        <v>180</v>
      </c>
      <c r="I86" s="4">
        <v>0</v>
      </c>
      <c r="J86" s="4">
        <f t="shared" si="4"/>
        <v>284.15454545454543</v>
      </c>
      <c r="K86" s="10">
        <f t="shared" si="5"/>
        <v>241.65454545454543</v>
      </c>
      <c r="L86">
        <v>1</v>
      </c>
      <c r="M86" s="12" t="str">
        <f t="shared" si="3"/>
        <v>"cNed": CharacterStats("cNed",0.41,0.12,85,0.95,155,"タイガー",180,0),</v>
      </c>
      <c r="Q86" t="str">
        <v>えんぺん</v>
      </c>
      <c r="R86" s="10">
        <v>0.5</v>
      </c>
      <c r="S86" s="10">
        <v>0.17</v>
      </c>
      <c r="T86">
        <v>185</v>
      </c>
      <c r="U86">
        <v>0.75</v>
      </c>
      <c r="V86">
        <v>125</v>
      </c>
      <c r="W86" t="str">
        <v>フラッシュ</v>
      </c>
      <c r="X86">
        <v>65</v>
      </c>
      <c r="Y86">
        <v>1</v>
      </c>
      <c r="Z86">
        <v>314.71818181818179</v>
      </c>
      <c r="AA86">
        <v>222.21818181818182</v>
      </c>
    </row>
    <row r="87" spans="1:28" ht="15.75" customHeight="1">
      <c r="A87" s="5" t="s">
        <v>101</v>
      </c>
      <c r="B87" s="5">
        <v>0.53</v>
      </c>
      <c r="C87" s="5">
        <v>0.17</v>
      </c>
      <c r="D87" s="5">
        <v>120</v>
      </c>
      <c r="E87" s="5">
        <v>0.63</v>
      </c>
      <c r="F87" s="4">
        <v>155</v>
      </c>
      <c r="G87" t="s">
        <v>13</v>
      </c>
      <c r="H87" s="4">
        <v>90</v>
      </c>
      <c r="I87" s="4">
        <v>0</v>
      </c>
      <c r="J87" s="4">
        <f t="shared" si="4"/>
        <v>284.15454545454548</v>
      </c>
      <c r="K87" s="10">
        <f t="shared" si="5"/>
        <v>224.15454545454548</v>
      </c>
      <c r="L87">
        <v>1</v>
      </c>
      <c r="M87" s="12" t="str">
        <f t="shared" si="3"/>
        <v>"soulcas": CharacterStats("soulcas",0.53,0.17,120,0.63,155,"フラッシュ",90,0),</v>
      </c>
      <c r="Q87" t="str">
        <v>おもこ</v>
      </c>
      <c r="R87" s="10">
        <v>0.67</v>
      </c>
      <c r="S87" s="10">
        <v>0.67</v>
      </c>
      <c r="T87">
        <v>67</v>
      </c>
      <c r="U87">
        <v>0.67</v>
      </c>
      <c r="V87">
        <v>67</v>
      </c>
      <c r="W87" t="str">
        <v>フラッシュ</v>
      </c>
      <c r="X87">
        <v>67</v>
      </c>
      <c r="Y87">
        <v>0</v>
      </c>
      <c r="Z87">
        <v>326.05454545454546</v>
      </c>
      <c r="AA87">
        <v>292.55454545454546</v>
      </c>
    </row>
    <row r="88" spans="1:28" ht="15.75" customHeight="1">
      <c r="A88" s="5" t="s">
        <v>102</v>
      </c>
      <c r="B88" s="5">
        <v>0.25</v>
      </c>
      <c r="C88" s="5">
        <v>0.2</v>
      </c>
      <c r="D88" s="5">
        <v>100</v>
      </c>
      <c r="E88" s="5">
        <v>0.85</v>
      </c>
      <c r="F88" s="4">
        <v>135</v>
      </c>
      <c r="G88" t="s">
        <v>19</v>
      </c>
      <c r="H88" s="4">
        <v>30</v>
      </c>
      <c r="I88" s="4">
        <v>0</v>
      </c>
      <c r="J88" s="4">
        <f t="shared" si="4"/>
        <v>262.36363636363637</v>
      </c>
      <c r="K88" s="10">
        <f t="shared" si="5"/>
        <v>212.36363636363637</v>
      </c>
      <c r="L88">
        <v>1</v>
      </c>
      <c r="M88" s="12" t="str">
        <f t="shared" si="3"/>
        <v>"trexx": CharacterStats("trexx",0.25,0.2,100,0.85,135,"シーカー",30,0),</v>
      </c>
      <c r="Q88" t="str">
        <v>crashies</v>
      </c>
      <c r="R88" s="10">
        <v>0.28000000000000003</v>
      </c>
      <c r="S88" s="10">
        <v>0.17</v>
      </c>
      <c r="T88">
        <v>140</v>
      </c>
      <c r="U88">
        <v>0.68</v>
      </c>
      <c r="V88">
        <v>80</v>
      </c>
      <c r="W88" t="str">
        <v>シーカー</v>
      </c>
      <c r="X88">
        <v>45</v>
      </c>
      <c r="Y88">
        <v>0</v>
      </c>
      <c r="Z88">
        <v>234.06363636363636</v>
      </c>
      <c r="AA88">
        <v>164.06363636363636</v>
      </c>
    </row>
    <row r="89" spans="1:28" ht="15.75" customHeight="1">
      <c r="A89" s="5" t="s">
        <v>103</v>
      </c>
      <c r="B89" s="5">
        <v>0.3</v>
      </c>
      <c r="C89" s="5">
        <v>0.3</v>
      </c>
      <c r="D89" s="5">
        <v>140</v>
      </c>
      <c r="E89" s="5">
        <v>0.7</v>
      </c>
      <c r="F89" s="4">
        <v>100</v>
      </c>
      <c r="G89" t="s">
        <v>15</v>
      </c>
      <c r="H89" s="4">
        <v>50</v>
      </c>
      <c r="I89" s="4">
        <v>8</v>
      </c>
      <c r="J89" s="4">
        <f t="shared" si="4"/>
        <v>270.45454545454544</v>
      </c>
      <c r="K89" s="10">
        <f t="shared" si="5"/>
        <v>200.45454545454544</v>
      </c>
      <c r="L89">
        <v>1</v>
      </c>
      <c r="M89" s="12" t="str">
        <f t="shared" si="3"/>
        <v>"mindfreak": CharacterStats("mindfreak",0.3,0.3,140,0.7,100,"スモーカー",50,8),</v>
      </c>
      <c r="Q89" t="str">
        <v>FNS</v>
      </c>
      <c r="R89" s="10">
        <v>0.17</v>
      </c>
      <c r="S89" s="10">
        <v>0.13</v>
      </c>
      <c r="T89">
        <v>190</v>
      </c>
      <c r="U89">
        <v>0.63</v>
      </c>
      <c r="V89">
        <v>70</v>
      </c>
      <c r="W89" t="str">
        <v>スモーカー</v>
      </c>
      <c r="X89">
        <v>10</v>
      </c>
      <c r="Y89">
        <v>0</v>
      </c>
      <c r="Z89">
        <v>226.91818181818181</v>
      </c>
      <c r="AA89">
        <v>131.91818181818181</v>
      </c>
    </row>
    <row r="90" spans="1:28" ht="15.75" customHeight="1">
      <c r="A90" s="5" t="s">
        <v>104</v>
      </c>
      <c r="B90" s="5">
        <v>0.25</v>
      </c>
      <c r="C90" s="5">
        <v>0.55000000000000004</v>
      </c>
      <c r="D90" s="4">
        <v>80</v>
      </c>
      <c r="E90" s="12">
        <v>0.65</v>
      </c>
      <c r="F90" s="4">
        <v>122</v>
      </c>
      <c r="G90" s="12" t="s">
        <v>15</v>
      </c>
      <c r="H90" s="12">
        <v>50</v>
      </c>
      <c r="I90" s="4">
        <v>5</v>
      </c>
      <c r="J90" s="4">
        <f t="shared" si="4"/>
        <v>279.95454545454544</v>
      </c>
      <c r="K90" s="13">
        <f t="shared" si="5"/>
        <v>239.95454545454544</v>
      </c>
      <c r="L90" s="12">
        <v>0</v>
      </c>
      <c r="M90" s="12" t="str">
        <f>""""&amp;A90&amp;""": CharacterStats("""&amp;A90&amp;""","&amp;B90&amp;","&amp;C90&amp;","&amp;D90&amp;","&amp;E90&amp;","&amp;F90&amp;","&amp;""""&amp;G90&amp;""","&amp;H90&amp;","&amp;I90&amp;"),"</f>
        <v>"ろびぃな": CharacterStats("ろびぃな",0.25,0.55,80,0.65,122,"スモーカー",50,5),</v>
      </c>
      <c r="N90" s="12"/>
      <c r="O90" s="12"/>
      <c r="P90" s="12"/>
      <c r="Q90" s="12" t="str">
        <v>Furina</v>
      </c>
      <c r="R90" s="13">
        <v>0.28999999999999998</v>
      </c>
      <c r="S90" s="13">
        <v>0.09</v>
      </c>
      <c r="T90" s="12">
        <v>149</v>
      </c>
      <c r="U90" s="12">
        <v>0.69</v>
      </c>
      <c r="V90" s="12">
        <v>129</v>
      </c>
      <c r="W90" s="12" t="str">
        <v>フラッシュ</v>
      </c>
      <c r="X90" s="12">
        <v>20</v>
      </c>
      <c r="Y90" s="12">
        <v>0</v>
      </c>
      <c r="Z90" s="12">
        <v>249.83636363636361</v>
      </c>
      <c r="AA90" s="12">
        <v>175.33636363636361</v>
      </c>
      <c r="AB90" s="12"/>
    </row>
    <row r="91" spans="1:28" ht="15.75" customHeight="1">
      <c r="A91" s="5" t="s">
        <v>105</v>
      </c>
      <c r="B91" s="5">
        <v>0.5</v>
      </c>
      <c r="C91" s="5">
        <v>0.17</v>
      </c>
      <c r="D91" s="5">
        <v>185</v>
      </c>
      <c r="E91" s="5">
        <v>0.75</v>
      </c>
      <c r="F91" s="4">
        <v>125</v>
      </c>
      <c r="G91" s="12" t="s">
        <v>13</v>
      </c>
      <c r="H91" s="4">
        <v>65</v>
      </c>
      <c r="I91" s="4">
        <v>1</v>
      </c>
      <c r="J91" s="4">
        <f t="shared" si="4"/>
        <v>314.71818181818179</v>
      </c>
      <c r="K91" s="13">
        <f t="shared" si="5"/>
        <v>222.21818181818182</v>
      </c>
      <c r="L91" s="12">
        <v>0</v>
      </c>
      <c r="M91" s="12" t="str">
        <f t="shared" ref="M91:M93" si="6">""""&amp;A91&amp;""": CharacterStats("""&amp;A91&amp;""","&amp;B91&amp;","&amp;C91&amp;","&amp;D91&amp;","&amp;E91&amp;","&amp;F91&amp;","&amp;""""&amp;G91&amp;""","&amp;H91&amp;","&amp;I91&amp;"),"</f>
        <v>"えんぺん": CharacterStats("えんぺん",0.5,0.17,185,0.75,125,"フラッシュ",65,1),</v>
      </c>
      <c r="N91" s="12"/>
      <c r="O91" s="12"/>
      <c r="P91" s="12"/>
      <c r="Q91" s="12" t="str">
        <v>cNed</v>
      </c>
      <c r="R91" s="13">
        <v>0.41</v>
      </c>
      <c r="S91" s="13">
        <v>0.12</v>
      </c>
      <c r="T91" s="12">
        <v>85</v>
      </c>
      <c r="U91" s="12">
        <v>0.95</v>
      </c>
      <c r="V91" s="12">
        <v>155</v>
      </c>
      <c r="W91" s="12" t="str">
        <v>タイガー</v>
      </c>
      <c r="X91" s="12">
        <v>180</v>
      </c>
      <c r="Y91" s="12">
        <v>0</v>
      </c>
      <c r="Z91" s="12">
        <v>284.15454545454543</v>
      </c>
      <c r="AA91" s="12">
        <v>241.65454545454543</v>
      </c>
      <c r="AB91" s="12"/>
    </row>
    <row r="92" spans="1:28" ht="15.75" customHeight="1">
      <c r="A92" s="5" t="s">
        <v>106</v>
      </c>
      <c r="B92" s="5">
        <v>0.33</v>
      </c>
      <c r="C92" s="5">
        <v>0.22</v>
      </c>
      <c r="D92" s="5">
        <v>75</v>
      </c>
      <c r="E92" s="5">
        <v>0.77</v>
      </c>
      <c r="F92" s="4">
        <v>131</v>
      </c>
      <c r="G92" s="12" t="s">
        <v>19</v>
      </c>
      <c r="H92" s="4">
        <v>55</v>
      </c>
      <c r="I92" s="4">
        <v>4</v>
      </c>
      <c r="J92" s="4">
        <f t="shared" si="4"/>
        <v>251.44545454545454</v>
      </c>
      <c r="K92" s="13">
        <f t="shared" si="5"/>
        <v>213.94545454545454</v>
      </c>
      <c r="L92" s="12">
        <v>0</v>
      </c>
      <c r="M92" s="12" t="str">
        <f t="shared" si="6"/>
        <v>"イグルン": CharacterStats("イグルン",0.33,0.22,75,0.77,131,"シーカー",55,4),</v>
      </c>
      <c r="N92" s="12"/>
      <c r="O92" s="12"/>
      <c r="P92" s="12"/>
      <c r="Q92" s="12" t="str">
        <v>soulcas</v>
      </c>
      <c r="R92" s="13">
        <v>0.53</v>
      </c>
      <c r="S92" s="13">
        <v>0.17</v>
      </c>
      <c r="T92" s="12">
        <v>120</v>
      </c>
      <c r="U92" s="12">
        <v>0.63</v>
      </c>
      <c r="V92" s="12">
        <v>155</v>
      </c>
      <c r="W92" s="12" t="str">
        <v>フラッシュ</v>
      </c>
      <c r="X92" s="12">
        <v>90</v>
      </c>
      <c r="Y92" s="12">
        <v>0</v>
      </c>
      <c r="Z92" s="12">
        <v>284.15454545454548</v>
      </c>
      <c r="AA92" s="12">
        <v>224.15454545454548</v>
      </c>
      <c r="AB92" s="12"/>
    </row>
    <row r="93" spans="1:28" ht="15.75" customHeight="1">
      <c r="A93" s="12" t="s">
        <v>107</v>
      </c>
      <c r="B93" s="5">
        <v>0.35</v>
      </c>
      <c r="C93" s="5">
        <v>0.23</v>
      </c>
      <c r="D93" s="5">
        <v>80</v>
      </c>
      <c r="E93" s="5">
        <v>0.76</v>
      </c>
      <c r="F93" s="4">
        <v>115</v>
      </c>
      <c r="G93" s="12" t="s">
        <v>13</v>
      </c>
      <c r="H93" s="4">
        <v>50</v>
      </c>
      <c r="I93" s="4">
        <v>3</v>
      </c>
      <c r="J93" s="4">
        <f t="shared" si="4"/>
        <v>249.67272727272729</v>
      </c>
      <c r="K93" s="13">
        <f t="shared" si="5"/>
        <v>209.67272727272729</v>
      </c>
      <c r="L93" s="12">
        <v>0</v>
      </c>
      <c r="M93" s="12" t="str">
        <f t="shared" si="6"/>
        <v>"夢の街": CharacterStats("夢の街",0.35,0.23,80,0.76,115,"フラッシュ",50,3),</v>
      </c>
      <c r="N93" s="12"/>
      <c r="O93" s="12"/>
      <c r="P93" s="12"/>
      <c r="Q93" s="12" t="str">
        <v>trexx</v>
      </c>
      <c r="R93" s="13">
        <v>0.25</v>
      </c>
      <c r="S93" s="13">
        <v>0.2</v>
      </c>
      <c r="T93" s="12">
        <v>100</v>
      </c>
      <c r="U93" s="12">
        <v>0.85</v>
      </c>
      <c r="V93" s="12">
        <v>135</v>
      </c>
      <c r="W93" s="12" t="str">
        <v>シーカー</v>
      </c>
      <c r="X93" s="12">
        <v>30</v>
      </c>
      <c r="Y93" s="12">
        <v>0</v>
      </c>
      <c r="Z93" s="12">
        <v>262.36363636363637</v>
      </c>
      <c r="AA93" s="12">
        <v>212.36363636363637</v>
      </c>
      <c r="AB93" s="12"/>
    </row>
    <row r="94" spans="1:28" ht="15.75" customHeight="1">
      <c r="Q94">
        <v>0</v>
      </c>
      <c r="R94" s="10">
        <v>0</v>
      </c>
      <c r="S94" s="10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8" ht="15.75" customHeight="1">
      <c r="Q95">
        <v>0</v>
      </c>
      <c r="R95" s="10">
        <v>0</v>
      </c>
      <c r="S95" s="10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8" ht="15.75" customHeight="1">
      <c r="Q96">
        <v>0</v>
      </c>
      <c r="R96" s="10">
        <v>0</v>
      </c>
      <c r="S96" s="10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7:27" ht="15.75" customHeight="1">
      <c r="Q97">
        <v>0</v>
      </c>
      <c r="R97" s="10">
        <v>0</v>
      </c>
      <c r="S97" s="10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7:27" ht="15.75" customHeight="1"/>
    <row r="99" spans="17:27" ht="15.75" customHeight="1"/>
    <row r="100" spans="17:27" ht="15.75" customHeight="1"/>
    <row r="101" spans="17:27" ht="15.75" customHeight="1"/>
    <row r="102" spans="17:27" ht="15.75" customHeight="1"/>
    <row r="103" spans="17:27" ht="15.75" customHeight="1"/>
    <row r="104" spans="17:27" ht="15.75" customHeight="1"/>
    <row r="105" spans="17:27" ht="15.75" customHeight="1"/>
    <row r="106" spans="17:27" ht="15.75" customHeight="1"/>
    <row r="107" spans="17:27" ht="15.75" customHeight="1"/>
    <row r="108" spans="17:27" ht="15.75" customHeight="1"/>
    <row r="109" spans="17:27" ht="15.75" customHeight="1"/>
    <row r="110" spans="17:27" ht="15.75" customHeight="1"/>
    <row r="111" spans="17:27" ht="15.75" customHeight="1"/>
    <row r="112" spans="17:2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2026-07-19T07:32:30Z</dcterms:created>
  <dcterms:modified xsi:type="dcterms:W3CDTF">2026-08-07T23:48:26Z</dcterms:modified>
  <cp:category/>
  <cp:contentStatus/>
</cp:coreProperties>
</file>