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xr:revisionPtr revIDLastSave="0" documentId="8_{6EFDF42F-9093-44B1-95D1-BF45D03A593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シート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v1eneVEXfzm3HsejH5qOmumyOSBnvg0UPv95XxljNzs="/>
    </ext>
  </extLst>
</workbook>
</file>

<file path=xl/calcChain.xml><?xml version="1.0" encoding="utf-8"?>
<calcChain xmlns="http://schemas.openxmlformats.org/spreadsheetml/2006/main">
  <c r="J73" i="1" l="1"/>
  <c r="I73" i="1"/>
  <c r="J72" i="1"/>
  <c r="I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L2" i="1" l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<sst xmlns="http://schemas.openxmlformats.org/spreadsheetml/2006/main" count="164" uniqueCount="87">
  <si>
    <t>名前</t>
  </si>
  <si>
    <t>hs%</t>
  </si>
  <si>
    <t>弾除け%</t>
  </si>
  <si>
    <t>IQ</t>
  </si>
  <si>
    <t>hit%</t>
  </si>
  <si>
    <t>反応速度</t>
  </si>
  <si>
    <t>ロール</t>
  </si>
  <si>
    <t>影響力</t>
  </si>
  <si>
    <t>総合能力</t>
  </si>
  <si>
    <t>撃ち合い戦闘力</t>
  </si>
  <si>
    <t>解禁</t>
  </si>
  <si>
    <t>Chronicle</t>
  </si>
  <si>
    <t>フラッシュ</t>
  </si>
  <si>
    <t>Demon1</t>
  </si>
  <si>
    <t>スモーカー</t>
  </si>
  <si>
    <t>something</t>
  </si>
  <si>
    <t>タイガー</t>
  </si>
  <si>
    <t>Leo</t>
  </si>
  <si>
    <t>シーカー</t>
  </si>
  <si>
    <t>Alfajer</t>
  </si>
  <si>
    <t>Derke</t>
  </si>
  <si>
    <t>Boaster</t>
  </si>
  <si>
    <t>Aspas</t>
  </si>
  <si>
    <t>F0rsakeN</t>
  </si>
  <si>
    <t>Jinggg</t>
  </si>
  <si>
    <t>d4v41</t>
  </si>
  <si>
    <t>Sato</t>
  </si>
  <si>
    <t>jawgemo</t>
  </si>
  <si>
    <t>valyn</t>
  </si>
  <si>
    <t>Ethan</t>
  </si>
  <si>
    <t>Wo0t</t>
  </si>
  <si>
    <t>kaajak</t>
  </si>
  <si>
    <t>Meiy</t>
  </si>
  <si>
    <t>Verno</t>
  </si>
  <si>
    <t>Sayonara</t>
  </si>
  <si>
    <t>Jamppi</t>
  </si>
  <si>
    <t>Boostio</t>
  </si>
  <si>
    <t>Primmie</t>
  </si>
  <si>
    <t>Tortlilyan</t>
  </si>
  <si>
    <t>まーやまくん</t>
  </si>
  <si>
    <t>おもこ</t>
  </si>
  <si>
    <t>Meteor</t>
  </si>
  <si>
    <t>Laz</t>
  </si>
  <si>
    <t>ZMJKK</t>
  </si>
  <si>
    <t>Brawk</t>
  </si>
  <si>
    <t>HYUNMIN</t>
  </si>
  <si>
    <t>Flashback</t>
  </si>
  <si>
    <t>Mako</t>
  </si>
  <si>
    <t>t3xture</t>
  </si>
  <si>
    <t>trent</t>
  </si>
  <si>
    <t>leaf</t>
  </si>
  <si>
    <t>keiko</t>
  </si>
  <si>
    <t>Rb</t>
  </si>
  <si>
    <t>stax</t>
  </si>
  <si>
    <t>tex</t>
  </si>
  <si>
    <t>Mazino</t>
  </si>
  <si>
    <t>Zekken</t>
  </si>
  <si>
    <t>BABYBAY</t>
  </si>
  <si>
    <t>Dep</t>
  </si>
  <si>
    <t>SugarZ3ro</t>
  </si>
  <si>
    <t>Buzz</t>
  </si>
  <si>
    <t>TenZ</t>
  </si>
  <si>
    <t>eggsterr</t>
  </si>
  <si>
    <t>Rossy</t>
  </si>
  <si>
    <t>Rarga</t>
  </si>
  <si>
    <t>Lysoar</t>
  </si>
  <si>
    <t>Smoggy</t>
  </si>
  <si>
    <t>CHICHOO</t>
  </si>
  <si>
    <t>crashies</t>
  </si>
  <si>
    <t>FNS</t>
  </si>
  <si>
    <t>nAts</t>
  </si>
  <si>
    <t>Lar0k</t>
  </si>
  <si>
    <t>skuba</t>
  </si>
  <si>
    <t>C0M</t>
  </si>
  <si>
    <t>mada</t>
  </si>
  <si>
    <t>s0m</t>
  </si>
  <si>
    <t>Lohen</t>
  </si>
  <si>
    <t>Furina</t>
  </si>
  <si>
    <t>Lisa</t>
  </si>
  <si>
    <t>Jean</t>
  </si>
  <si>
    <t>Kachina</t>
  </si>
  <si>
    <t>IbarakiNinja</t>
  </si>
  <si>
    <t>Canezera</t>
  </si>
  <si>
    <t>Arlecchino</t>
  </si>
  <si>
    <t>WsLeo</t>
  </si>
  <si>
    <t>Zest</t>
  </si>
  <si>
    <t>Tartaglia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</si>
</sst>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2" fillId="0" borderId="0" xfId="0" applyFont="1" applyAlignment="1"/>
    <xf numFmtId="1" fontId="2" fillId="0" borderId="0" xfId="0" applyNumberFormat="1" applyFont="1"/>
    <xf numFmtId="0" fontId="2" fillId="0" borderId="0" xfId="0" applyFont="1"/>
    <xf numFmtId="0" fontId="1" fillId="0" borderId="0" xfId="0" applyNumberFormat="1" applyFont="1"/>
    <xf numFmtId="0" fontId="1" fillId="0" borderId="0" xfId="0" applyNumberFormat="1" applyFont="1" applyAlignment="1"/>
    <xf numFmtId="0" fontId="2" fillId="0" borderId="0" xfId="0" applyNumberFormat="1" applyFont="1" applyAlignment="1"/>
    <xf numFmtId="0" fontId="0" fillId="0" borderId="0" xfId="0" applyNumberFormat="1" applyFont="1" applyAlignment="1"/>
    <xf numFmtId="1" fontId="0" fillId="0" borderId="0" xfId="0" applyNumberFormat="1" applyFont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00"/>
  <sheetViews>
    <sheetView tabSelected="1" workbookViewId="0">
      <selection activeCell="D16" sqref="D16"/>
    </sheetView>
  </sheetViews>
  <sheetFormatPr defaultColWidth="12.5703125" defaultRowHeight="15" customHeight="1"/>
  <cols>
    <col min="1" max="1" width="18.5703125" customWidth="1"/>
    <col min="2" max="6" width="12.5703125" customWidth="1"/>
    <col min="8" max="8" width="14.42578125" customWidth="1"/>
    <col min="9" max="10" width="16.5703125" customWidth="1"/>
    <col min="17" max="17" width="14.85546875" customWidth="1"/>
    <col min="19" max="19" width="14.7109375" customWidth="1"/>
  </cols>
  <sheetData>
    <row r="1" spans="1:20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t="s">
        <v>6</v>
      </c>
      <c r="H1" s="3" t="s">
        <v>7</v>
      </c>
      <c r="I1" s="3" t="s">
        <v>8</v>
      </c>
      <c r="J1" t="s">
        <v>9</v>
      </c>
      <c r="K1" s="1" t="s">
        <v>10</v>
      </c>
      <c r="L1" s="1" t="s">
        <v>0</v>
      </c>
      <c r="M1" s="1" t="s">
        <v>1</v>
      </c>
      <c r="N1" s="2" t="s">
        <v>2</v>
      </c>
      <c r="O1" s="1" t="s">
        <v>3</v>
      </c>
      <c r="P1" s="1" t="s">
        <v>4</v>
      </c>
      <c r="Q1" s="3" t="s">
        <v>5</v>
      </c>
      <c r="R1" t="s">
        <v>6</v>
      </c>
      <c r="S1" t="s">
        <v>8</v>
      </c>
      <c r="T1" t="s">
        <v>9</v>
      </c>
    </row>
    <row r="2" spans="1:20" ht="15.75" customHeight="1">
      <c r="A2" s="1" t="s">
        <v>11</v>
      </c>
      <c r="B2" s="6">
        <v>0.35</v>
      </c>
      <c r="C2" s="2">
        <v>0.2</v>
      </c>
      <c r="D2" s="2">
        <v>105</v>
      </c>
      <c r="E2" s="2">
        <v>0.7</v>
      </c>
      <c r="F2" s="4">
        <v>135</v>
      </c>
      <c r="G2" t="s">
        <v>12</v>
      </c>
      <c r="H2" s="4">
        <v>80</v>
      </c>
      <c r="I2" s="4">
        <f>B2*130+(C2)*170+(D2/2)+(E2-0.2)*130+(F2/2.2)</f>
        <v>258.36363636363637</v>
      </c>
      <c r="J2" s="10">
        <f>B2*130+(C2)*170+(E2-0.2)*130+(F2/2.2)</f>
        <v>205.86363636363637</v>
      </c>
      <c r="K2">
        <v>1</v>
      </c>
      <c r="L2" t="str" cm="1">
        <f t="array" ref="L2:T97">_xlfn._xlws.SORT(A2:I97, {9}, {-1})</f>
        <v>Tortlilyan</v>
      </c>
      <c r="M2">
        <v>0.23</v>
      </c>
      <c r="N2">
        <v>0.34</v>
      </c>
      <c r="O2">
        <v>123</v>
      </c>
      <c r="P2">
        <v>0.81</v>
      </c>
      <c r="Q2">
        <v>155</v>
      </c>
      <c r="R2" s="10" t="str">
        <v>タイガー</v>
      </c>
      <c r="S2" s="10">
        <v>50</v>
      </c>
      <c r="T2" s="10">
        <v>298.95454545454544</v>
      </c>
    </row>
    <row r="3" spans="1:20" ht="15.75" customHeight="1">
      <c r="A3" s="1" t="s">
        <v>13</v>
      </c>
      <c r="B3" s="6">
        <v>0.5</v>
      </c>
      <c r="C3" s="2">
        <v>0.13</v>
      </c>
      <c r="D3" s="1">
        <v>80</v>
      </c>
      <c r="E3" s="2">
        <v>0.86</v>
      </c>
      <c r="F3" s="4">
        <v>145</v>
      </c>
      <c r="G3" t="s">
        <v>14</v>
      </c>
      <c r="H3" s="4">
        <v>150</v>
      </c>
      <c r="I3" s="4">
        <f t="shared" ref="I3:I66" si="0">B3*130+(C3)*170+(D3/2)+(E3-0.2)*130+(F3/2.2)</f>
        <v>278.80909090909086</v>
      </c>
      <c r="J3" s="10">
        <f t="shared" ref="J3:J66" si="1">B3*130+(C3)*170+(E3-0.2)*130+(F3/2.2)</f>
        <v>238.80909090909088</v>
      </c>
      <c r="K3">
        <v>1</v>
      </c>
      <c r="L3" t="str">
        <v>まーやまくん</v>
      </c>
      <c r="M3">
        <v>0.7</v>
      </c>
      <c r="N3">
        <v>0.21</v>
      </c>
      <c r="O3">
        <v>90</v>
      </c>
      <c r="P3">
        <v>0.67</v>
      </c>
      <c r="Q3">
        <v>140</v>
      </c>
      <c r="R3" s="10" t="str">
        <v>シーカー</v>
      </c>
      <c r="S3" s="10">
        <v>50</v>
      </c>
      <c r="T3" s="10">
        <v>296.43636363636364</v>
      </c>
    </row>
    <row r="4" spans="1:20" ht="15.75" customHeight="1">
      <c r="A4" s="1" t="s">
        <v>15</v>
      </c>
      <c r="B4" s="6">
        <v>0.35</v>
      </c>
      <c r="C4" s="2">
        <v>0.24</v>
      </c>
      <c r="D4" s="2">
        <v>70</v>
      </c>
      <c r="E4" s="2">
        <v>0.88</v>
      </c>
      <c r="F4" s="4">
        <v>165</v>
      </c>
      <c r="G4" t="s">
        <v>16</v>
      </c>
      <c r="H4" s="4">
        <v>60</v>
      </c>
      <c r="I4" s="4">
        <f t="shared" si="0"/>
        <v>284.7</v>
      </c>
      <c r="J4" s="10">
        <f t="shared" si="1"/>
        <v>249.7</v>
      </c>
      <c r="K4">
        <v>1</v>
      </c>
      <c r="L4" t="str">
        <v>Leo</v>
      </c>
      <c r="M4">
        <v>0.27</v>
      </c>
      <c r="N4">
        <v>0.22</v>
      </c>
      <c r="O4">
        <v>150</v>
      </c>
      <c r="P4">
        <v>0.83</v>
      </c>
      <c r="Q4">
        <v>135</v>
      </c>
      <c r="R4" s="10" t="str">
        <v>シーカー</v>
      </c>
      <c r="S4" s="10">
        <v>65</v>
      </c>
      <c r="T4" s="10">
        <v>290.76363636363635</v>
      </c>
    </row>
    <row r="5" spans="1:20" ht="15.75" customHeight="1">
      <c r="A5" s="1" t="s">
        <v>17</v>
      </c>
      <c r="B5" s="7">
        <v>0.27</v>
      </c>
      <c r="C5" s="2">
        <v>0.22</v>
      </c>
      <c r="D5" s="2">
        <v>150</v>
      </c>
      <c r="E5" s="2">
        <v>0.83</v>
      </c>
      <c r="F5" s="4">
        <v>135</v>
      </c>
      <c r="G5" t="s">
        <v>18</v>
      </c>
      <c r="H5" s="4">
        <v>65</v>
      </c>
      <c r="I5" s="4">
        <f t="shared" si="0"/>
        <v>290.76363636363635</v>
      </c>
      <c r="J5" s="10">
        <f t="shared" si="1"/>
        <v>215.76363636363635</v>
      </c>
      <c r="K5">
        <v>1</v>
      </c>
      <c r="L5" t="str">
        <v>something</v>
      </c>
      <c r="M5">
        <v>0.35</v>
      </c>
      <c r="N5">
        <v>0.24</v>
      </c>
      <c r="O5">
        <v>70</v>
      </c>
      <c r="P5">
        <v>0.88</v>
      </c>
      <c r="Q5">
        <v>165</v>
      </c>
      <c r="R5" s="10" t="str">
        <v>タイガー</v>
      </c>
      <c r="S5" s="10">
        <v>60</v>
      </c>
      <c r="T5" s="10">
        <v>284.7</v>
      </c>
    </row>
    <row r="6" spans="1:20" ht="15.75" customHeight="1">
      <c r="A6" s="2" t="s">
        <v>19</v>
      </c>
      <c r="B6" s="6">
        <v>0.45</v>
      </c>
      <c r="C6" s="1">
        <v>0.13</v>
      </c>
      <c r="D6" s="2">
        <v>60</v>
      </c>
      <c r="E6" s="2">
        <v>0.91</v>
      </c>
      <c r="F6" s="4">
        <v>145</v>
      </c>
      <c r="G6" t="s">
        <v>16</v>
      </c>
      <c r="H6" s="4">
        <v>60</v>
      </c>
      <c r="I6" s="4">
        <f t="shared" si="0"/>
        <v>268.80909090909086</v>
      </c>
      <c r="J6" s="10">
        <f t="shared" si="1"/>
        <v>238.80909090909088</v>
      </c>
      <c r="K6">
        <v>1</v>
      </c>
      <c r="L6" t="str">
        <v>Aspas</v>
      </c>
      <c r="M6">
        <v>0.4</v>
      </c>
      <c r="N6">
        <v>0.24</v>
      </c>
      <c r="O6">
        <v>90</v>
      </c>
      <c r="P6">
        <v>0.87</v>
      </c>
      <c r="Q6">
        <v>120</v>
      </c>
      <c r="R6" s="10" t="str">
        <v>タイガー</v>
      </c>
      <c r="S6" s="10">
        <v>130</v>
      </c>
      <c r="T6" s="10">
        <v>279.44545454545454</v>
      </c>
    </row>
    <row r="7" spans="1:20" ht="15.75" customHeight="1">
      <c r="A7" s="1" t="s">
        <v>20</v>
      </c>
      <c r="B7" s="6">
        <v>0.35</v>
      </c>
      <c r="C7" s="2">
        <v>0.24</v>
      </c>
      <c r="D7" s="2">
        <v>90</v>
      </c>
      <c r="E7" s="2">
        <v>0.75</v>
      </c>
      <c r="F7" s="4">
        <v>115</v>
      </c>
      <c r="G7" t="s">
        <v>12</v>
      </c>
      <c r="H7" s="4">
        <v>100</v>
      </c>
      <c r="I7" s="4">
        <f t="shared" si="0"/>
        <v>255.07272727272726</v>
      </c>
      <c r="J7" s="10">
        <f t="shared" si="1"/>
        <v>210.07272727272726</v>
      </c>
      <c r="K7">
        <v>1</v>
      </c>
      <c r="L7" t="str">
        <v>Demon1</v>
      </c>
      <c r="M7">
        <v>0.5</v>
      </c>
      <c r="N7">
        <v>0.13</v>
      </c>
      <c r="O7">
        <v>80</v>
      </c>
      <c r="P7">
        <v>0.86</v>
      </c>
      <c r="Q7">
        <v>145</v>
      </c>
      <c r="R7" s="10" t="str">
        <v>スモーカー</v>
      </c>
      <c r="S7" s="10">
        <v>150</v>
      </c>
      <c r="T7" s="10">
        <v>278.80909090909086</v>
      </c>
    </row>
    <row r="8" spans="1:20" ht="15.75" customHeight="1">
      <c r="A8" s="1" t="s">
        <v>21</v>
      </c>
      <c r="B8" s="7">
        <v>0.2</v>
      </c>
      <c r="C8" s="2">
        <v>0.12</v>
      </c>
      <c r="D8" s="2">
        <v>165</v>
      </c>
      <c r="E8" s="2">
        <v>0.62</v>
      </c>
      <c r="F8" s="4">
        <v>96</v>
      </c>
      <c r="G8" t="s">
        <v>14</v>
      </c>
      <c r="H8" s="4">
        <v>50</v>
      </c>
      <c r="I8" s="4">
        <f t="shared" si="0"/>
        <v>227.13636363636363</v>
      </c>
      <c r="J8" s="10">
        <f t="shared" si="1"/>
        <v>144.63636363636363</v>
      </c>
      <c r="K8">
        <v>1</v>
      </c>
      <c r="L8" t="str">
        <v>Zest</v>
      </c>
      <c r="M8">
        <v>0.5</v>
      </c>
      <c r="N8">
        <v>0.25</v>
      </c>
      <c r="O8">
        <v>75</v>
      </c>
      <c r="P8">
        <v>0.76</v>
      </c>
      <c r="Q8">
        <v>121</v>
      </c>
      <c r="R8" s="10" t="str">
        <v>シーカー</v>
      </c>
      <c r="S8" s="10">
        <v>100</v>
      </c>
      <c r="T8" s="10">
        <v>272.8</v>
      </c>
    </row>
    <row r="9" spans="1:20" ht="15.75" customHeight="1">
      <c r="A9" s="1" t="s">
        <v>22</v>
      </c>
      <c r="B9" s="6">
        <v>0.4</v>
      </c>
      <c r="C9" s="2">
        <v>0.24</v>
      </c>
      <c r="D9" s="2">
        <v>90</v>
      </c>
      <c r="E9" s="2">
        <v>0.87</v>
      </c>
      <c r="F9" s="4">
        <v>120</v>
      </c>
      <c r="G9" t="s">
        <v>16</v>
      </c>
      <c r="H9" s="4">
        <v>130</v>
      </c>
      <c r="I9" s="4">
        <f t="shared" si="0"/>
        <v>279.44545454545454</v>
      </c>
      <c r="J9" s="10">
        <f t="shared" si="1"/>
        <v>234.44545454545451</v>
      </c>
      <c r="K9">
        <v>1</v>
      </c>
      <c r="L9" t="str">
        <v>Lohen</v>
      </c>
      <c r="M9">
        <v>0.4</v>
      </c>
      <c r="N9">
        <v>0.31</v>
      </c>
      <c r="O9">
        <v>70</v>
      </c>
      <c r="P9">
        <v>0.75</v>
      </c>
      <c r="Q9">
        <v>130</v>
      </c>
      <c r="R9" s="10" t="str">
        <v>タイガー</v>
      </c>
      <c r="S9" s="10">
        <v>100</v>
      </c>
      <c r="T9" s="10">
        <v>270.29090909090905</v>
      </c>
    </row>
    <row r="10" spans="1:20" ht="15.75" customHeight="1">
      <c r="A10" s="1" t="s">
        <v>23</v>
      </c>
      <c r="B10" s="6">
        <v>0.26</v>
      </c>
      <c r="C10" s="2">
        <v>0.14000000000000001</v>
      </c>
      <c r="D10" s="2">
        <v>125</v>
      </c>
      <c r="E10" s="2">
        <v>0.69</v>
      </c>
      <c r="F10" s="4">
        <v>95</v>
      </c>
      <c r="G10" t="s">
        <v>14</v>
      </c>
      <c r="H10" s="4">
        <v>50</v>
      </c>
      <c r="I10" s="4">
        <f t="shared" si="0"/>
        <v>226.9818181818182</v>
      </c>
      <c r="J10" s="10">
        <f t="shared" si="1"/>
        <v>164.48181818181817</v>
      </c>
      <c r="K10">
        <v>1</v>
      </c>
      <c r="L10" t="str">
        <v>Tartaglia</v>
      </c>
      <c r="M10">
        <v>0.55000000000000004</v>
      </c>
      <c r="N10">
        <v>0.15</v>
      </c>
      <c r="O10">
        <v>75</v>
      </c>
      <c r="P10">
        <v>0.72</v>
      </c>
      <c r="Q10">
        <v>150</v>
      </c>
      <c r="R10" s="10" t="str">
        <v>スモーカー</v>
      </c>
      <c r="S10" s="10">
        <v>150</v>
      </c>
      <c r="T10" s="10">
        <v>270.28181818181821</v>
      </c>
    </row>
    <row r="11" spans="1:20" ht="15.75" customHeight="1">
      <c r="A11" s="1" t="s">
        <v>24</v>
      </c>
      <c r="B11" s="6">
        <v>0.3</v>
      </c>
      <c r="C11" s="2">
        <v>0.26</v>
      </c>
      <c r="D11" s="2">
        <v>68</v>
      </c>
      <c r="E11" s="2">
        <v>0.71</v>
      </c>
      <c r="F11" s="4">
        <v>90</v>
      </c>
      <c r="G11" t="s">
        <v>16</v>
      </c>
      <c r="H11" s="4">
        <v>50</v>
      </c>
      <c r="I11" s="4">
        <f t="shared" si="0"/>
        <v>224.40909090909091</v>
      </c>
      <c r="J11" s="10">
        <f t="shared" si="1"/>
        <v>190.40909090909091</v>
      </c>
      <c r="K11">
        <v>1</v>
      </c>
      <c r="L11" t="str">
        <v>Jean</v>
      </c>
      <c r="M11">
        <v>0.35</v>
      </c>
      <c r="N11">
        <v>0.2</v>
      </c>
      <c r="O11">
        <v>115</v>
      </c>
      <c r="P11">
        <v>0.75</v>
      </c>
      <c r="Q11">
        <v>135</v>
      </c>
      <c r="R11" s="10" t="str">
        <v>シーカー</v>
      </c>
      <c r="S11" s="10">
        <v>50</v>
      </c>
      <c r="T11" s="10">
        <v>269.86363636363637</v>
      </c>
    </row>
    <row r="12" spans="1:20" ht="15.75" customHeight="1">
      <c r="A12" s="1" t="s">
        <v>25</v>
      </c>
      <c r="B12" s="7">
        <v>0.35</v>
      </c>
      <c r="C12" s="2">
        <v>0.17</v>
      </c>
      <c r="D12" s="2">
        <v>70</v>
      </c>
      <c r="E12" s="2">
        <v>0.71</v>
      </c>
      <c r="F12" s="4">
        <v>105</v>
      </c>
      <c r="G12" t="s">
        <v>18</v>
      </c>
      <c r="H12" s="4">
        <v>40</v>
      </c>
      <c r="I12" s="4">
        <f t="shared" si="0"/>
        <v>223.42727272727271</v>
      </c>
      <c r="J12" s="10">
        <f t="shared" si="1"/>
        <v>188.42727272727271</v>
      </c>
      <c r="K12">
        <v>1</v>
      </c>
      <c r="L12" t="str">
        <v>Arlecchino</v>
      </c>
      <c r="M12">
        <v>0.47</v>
      </c>
      <c r="N12">
        <v>0.19</v>
      </c>
      <c r="O12">
        <v>135</v>
      </c>
      <c r="P12">
        <v>0.6</v>
      </c>
      <c r="Q12">
        <v>125</v>
      </c>
      <c r="R12" s="10" t="str">
        <v>タイガー</v>
      </c>
      <c r="S12" s="10">
        <v>100</v>
      </c>
      <c r="T12" s="10">
        <v>269.71818181818179</v>
      </c>
    </row>
    <row r="13" spans="1:20" ht="15.75" customHeight="1">
      <c r="A13" s="1" t="s">
        <v>26</v>
      </c>
      <c r="B13" s="6">
        <v>0.4</v>
      </c>
      <c r="C13" s="2">
        <v>0.19</v>
      </c>
      <c r="D13" s="2">
        <v>67</v>
      </c>
      <c r="E13" s="2">
        <v>0.73</v>
      </c>
      <c r="F13" s="4">
        <v>105</v>
      </c>
      <c r="G13" t="s">
        <v>12</v>
      </c>
      <c r="H13" s="4">
        <v>60</v>
      </c>
      <c r="I13" s="4">
        <f t="shared" si="0"/>
        <v>234.42727272727271</v>
      </c>
      <c r="J13" s="10">
        <f t="shared" si="1"/>
        <v>200.92727272727271</v>
      </c>
      <c r="K13">
        <v>1</v>
      </c>
      <c r="L13" t="str">
        <v>Lisa</v>
      </c>
      <c r="M13">
        <v>0.36</v>
      </c>
      <c r="N13">
        <v>0.25</v>
      </c>
      <c r="O13">
        <v>120</v>
      </c>
      <c r="P13">
        <v>0.78</v>
      </c>
      <c r="Q13">
        <v>99</v>
      </c>
      <c r="R13" s="10" t="str">
        <v>スモーカー</v>
      </c>
      <c r="S13" s="10">
        <v>80</v>
      </c>
      <c r="T13" s="10">
        <v>269.7</v>
      </c>
    </row>
    <row r="14" spans="1:20" ht="15.75" customHeight="1">
      <c r="A14" s="1" t="s">
        <v>27</v>
      </c>
      <c r="B14" s="6">
        <v>0.28000000000000003</v>
      </c>
      <c r="C14" s="2">
        <v>0.31</v>
      </c>
      <c r="D14" s="2">
        <v>93</v>
      </c>
      <c r="E14" s="1">
        <v>0.67</v>
      </c>
      <c r="F14" s="4">
        <v>135</v>
      </c>
      <c r="G14" t="s">
        <v>16</v>
      </c>
      <c r="H14" s="4">
        <v>75</v>
      </c>
      <c r="I14" s="4">
        <f t="shared" si="0"/>
        <v>258.06363636363636</v>
      </c>
      <c r="J14" s="10">
        <f t="shared" si="1"/>
        <v>211.56363636363636</v>
      </c>
      <c r="K14">
        <v>1</v>
      </c>
      <c r="L14" t="str">
        <v>Alfajer</v>
      </c>
      <c r="M14">
        <v>0.45</v>
      </c>
      <c r="N14">
        <v>0.13</v>
      </c>
      <c r="O14">
        <v>60</v>
      </c>
      <c r="P14">
        <v>0.91</v>
      </c>
      <c r="Q14">
        <v>145</v>
      </c>
      <c r="R14" s="10" t="str">
        <v>タイガー</v>
      </c>
      <c r="S14" s="10">
        <v>60</v>
      </c>
      <c r="T14" s="10">
        <v>268.80909090909086</v>
      </c>
    </row>
    <row r="15" spans="1:20" ht="15.75" customHeight="1">
      <c r="A15" s="1" t="s">
        <v>28</v>
      </c>
      <c r="B15" s="6">
        <v>0.26</v>
      </c>
      <c r="C15" s="2">
        <v>0.13</v>
      </c>
      <c r="D15" s="2">
        <v>140</v>
      </c>
      <c r="E15" s="1">
        <v>0.64</v>
      </c>
      <c r="F15" s="4">
        <v>95</v>
      </c>
      <c r="G15" t="s">
        <v>14</v>
      </c>
      <c r="H15" s="4">
        <v>40</v>
      </c>
      <c r="I15" s="4">
        <f t="shared" si="0"/>
        <v>226.28181818181821</v>
      </c>
      <c r="J15" s="10">
        <f t="shared" si="1"/>
        <v>156.28181818181818</v>
      </c>
      <c r="K15">
        <v>1</v>
      </c>
      <c r="L15" t="str">
        <v>TenZ</v>
      </c>
      <c r="M15">
        <v>0.38</v>
      </c>
      <c r="N15">
        <v>0.23</v>
      </c>
      <c r="O15">
        <v>105</v>
      </c>
      <c r="P15">
        <v>0.76</v>
      </c>
      <c r="Q15">
        <v>120</v>
      </c>
      <c r="R15" s="10" t="str">
        <v>スモーカー</v>
      </c>
      <c r="S15" s="10">
        <v>170</v>
      </c>
      <c r="T15" s="10">
        <v>268.34545454545457</v>
      </c>
    </row>
    <row r="16" spans="1:20" ht="15.75" customHeight="1">
      <c r="A16" s="1" t="s">
        <v>29</v>
      </c>
      <c r="B16" s="7">
        <v>0.3</v>
      </c>
      <c r="C16" s="2">
        <v>0.18</v>
      </c>
      <c r="D16" s="2">
        <v>150</v>
      </c>
      <c r="E16" s="2">
        <v>0.8</v>
      </c>
      <c r="F16" s="4">
        <v>90</v>
      </c>
      <c r="G16" t="s">
        <v>18</v>
      </c>
      <c r="H16" s="4">
        <v>55</v>
      </c>
      <c r="I16" s="4">
        <f t="shared" si="0"/>
        <v>263.5090909090909</v>
      </c>
      <c r="J16" s="10">
        <f t="shared" si="1"/>
        <v>188.50909090909093</v>
      </c>
      <c r="K16">
        <v>1</v>
      </c>
      <c r="L16" t="str">
        <v>s0m</v>
      </c>
      <c r="M16">
        <v>0.3</v>
      </c>
      <c r="N16">
        <v>0.23</v>
      </c>
      <c r="O16">
        <v>145</v>
      </c>
      <c r="P16">
        <v>0.7</v>
      </c>
      <c r="Q16">
        <v>116</v>
      </c>
      <c r="R16" s="10" t="str">
        <v>スモーカー</v>
      </c>
      <c r="S16" s="10">
        <v>55</v>
      </c>
      <c r="T16" s="10">
        <v>268.32727272727266</v>
      </c>
    </row>
    <row r="17" spans="1:20" ht="15.75" customHeight="1">
      <c r="A17" s="1" t="s">
        <v>30</v>
      </c>
      <c r="B17" s="6">
        <v>0.4</v>
      </c>
      <c r="C17" s="2">
        <v>0.16</v>
      </c>
      <c r="D17" s="2">
        <v>78</v>
      </c>
      <c r="E17" s="2">
        <v>0.75</v>
      </c>
      <c r="F17" s="4">
        <v>120</v>
      </c>
      <c r="G17" t="s">
        <v>16</v>
      </c>
      <c r="H17" s="4">
        <v>75</v>
      </c>
      <c r="I17" s="4">
        <f t="shared" si="0"/>
        <v>244.24545454545452</v>
      </c>
      <c r="J17" s="10">
        <f t="shared" si="1"/>
        <v>205.24545454545452</v>
      </c>
      <c r="K17">
        <v>1</v>
      </c>
      <c r="L17" t="str">
        <v>Furina</v>
      </c>
      <c r="M17">
        <v>0.28999999999999998</v>
      </c>
      <c r="N17">
        <v>0.19</v>
      </c>
      <c r="O17">
        <v>149</v>
      </c>
      <c r="P17">
        <v>0.69</v>
      </c>
      <c r="Q17">
        <v>129</v>
      </c>
      <c r="R17" s="10" t="str">
        <v>フラッシュ</v>
      </c>
      <c r="S17" s="10">
        <v>30</v>
      </c>
      <c r="T17" s="10">
        <v>266.83636363636361</v>
      </c>
    </row>
    <row r="18" spans="1:20" ht="15.75" customHeight="1">
      <c r="A18" s="1" t="s">
        <v>31</v>
      </c>
      <c r="B18" s="6">
        <v>0.35</v>
      </c>
      <c r="C18" s="2">
        <v>0.2</v>
      </c>
      <c r="D18" s="2">
        <v>95</v>
      </c>
      <c r="E18" s="2">
        <v>0.76</v>
      </c>
      <c r="F18" s="4">
        <v>100</v>
      </c>
      <c r="G18" t="s">
        <v>12</v>
      </c>
      <c r="H18" s="4">
        <v>70</v>
      </c>
      <c r="I18" s="4">
        <f t="shared" si="0"/>
        <v>245.25454545454545</v>
      </c>
      <c r="J18" s="10">
        <f t="shared" si="1"/>
        <v>197.75454545454545</v>
      </c>
      <c r="K18">
        <v>1</v>
      </c>
      <c r="L18" t="str">
        <v>Canezera</v>
      </c>
      <c r="M18">
        <v>0.41</v>
      </c>
      <c r="N18">
        <v>0.17</v>
      </c>
      <c r="O18">
        <v>95</v>
      </c>
      <c r="P18">
        <v>0.77</v>
      </c>
      <c r="Q18">
        <v>135</v>
      </c>
      <c r="R18" s="10" t="str">
        <v>タイガー</v>
      </c>
      <c r="S18" s="10">
        <v>80</v>
      </c>
      <c r="T18" s="10">
        <v>265.16363636363639</v>
      </c>
    </row>
    <row r="19" spans="1:20" ht="15.75" customHeight="1">
      <c r="A19" s="1" t="s">
        <v>32</v>
      </c>
      <c r="B19" s="6">
        <v>0.35</v>
      </c>
      <c r="C19" s="2">
        <v>0.22</v>
      </c>
      <c r="D19" s="1">
        <v>70</v>
      </c>
      <c r="E19" s="2">
        <v>0.73</v>
      </c>
      <c r="F19" s="4">
        <v>110</v>
      </c>
      <c r="G19" t="s">
        <v>16</v>
      </c>
      <c r="H19" s="4">
        <v>90</v>
      </c>
      <c r="I19" s="4">
        <f t="shared" si="0"/>
        <v>236.8</v>
      </c>
      <c r="J19" s="10">
        <f t="shared" si="1"/>
        <v>201.8</v>
      </c>
      <c r="K19">
        <v>1</v>
      </c>
      <c r="L19" t="str">
        <v>Ethan</v>
      </c>
      <c r="M19">
        <v>0.3</v>
      </c>
      <c r="N19">
        <v>0.18</v>
      </c>
      <c r="O19">
        <v>150</v>
      </c>
      <c r="P19">
        <v>0.8</v>
      </c>
      <c r="Q19">
        <v>90</v>
      </c>
      <c r="R19" s="10" t="str">
        <v>シーカー</v>
      </c>
      <c r="S19" s="10">
        <v>55</v>
      </c>
      <c r="T19" s="10">
        <v>263.5090909090909</v>
      </c>
    </row>
    <row r="20" spans="1:20" ht="15.75" customHeight="1">
      <c r="A20" s="1" t="s">
        <v>33</v>
      </c>
      <c r="B20" s="6">
        <v>0.35</v>
      </c>
      <c r="C20" s="2">
        <v>0.16</v>
      </c>
      <c r="D20" s="2">
        <v>86</v>
      </c>
      <c r="E20" s="2">
        <v>0.7</v>
      </c>
      <c r="F20" s="4">
        <v>95</v>
      </c>
      <c r="G20" t="s">
        <v>18</v>
      </c>
      <c r="H20" s="4">
        <v>80</v>
      </c>
      <c r="I20" s="4">
        <f t="shared" si="0"/>
        <v>223.88181818181818</v>
      </c>
      <c r="J20" s="10">
        <f t="shared" si="1"/>
        <v>180.88181818181818</v>
      </c>
      <c r="K20">
        <v>1</v>
      </c>
      <c r="L20" t="str">
        <v>t3xture</v>
      </c>
      <c r="M20">
        <v>0.33</v>
      </c>
      <c r="N20">
        <v>0.19</v>
      </c>
      <c r="O20">
        <v>93</v>
      </c>
      <c r="P20">
        <v>0.75</v>
      </c>
      <c r="Q20">
        <v>150</v>
      </c>
      <c r="R20" s="10" t="str">
        <v>タイガー</v>
      </c>
      <c r="S20" s="10">
        <v>75</v>
      </c>
      <c r="T20" s="10">
        <v>261.38181818181818</v>
      </c>
    </row>
    <row r="21" spans="1:20" ht="15.75" customHeight="1">
      <c r="A21" s="1" t="s">
        <v>34</v>
      </c>
      <c r="B21" s="7">
        <v>0.33</v>
      </c>
      <c r="C21" s="2">
        <v>0.19</v>
      </c>
      <c r="D21" s="2">
        <v>89</v>
      </c>
      <c r="E21" s="2">
        <v>0.7</v>
      </c>
      <c r="F21" s="4">
        <v>90</v>
      </c>
      <c r="G21" t="s">
        <v>18</v>
      </c>
      <c r="H21" s="4">
        <v>80</v>
      </c>
      <c r="I21" s="4">
        <f t="shared" si="0"/>
        <v>225.6090909090909</v>
      </c>
      <c r="J21" s="10">
        <f t="shared" si="1"/>
        <v>181.1090909090909</v>
      </c>
      <c r="K21">
        <v>1</v>
      </c>
      <c r="L21" t="str">
        <v>Flashback</v>
      </c>
      <c r="M21">
        <v>0.38</v>
      </c>
      <c r="N21">
        <v>0.22</v>
      </c>
      <c r="O21">
        <v>79</v>
      </c>
      <c r="P21">
        <v>0.77</v>
      </c>
      <c r="Q21">
        <v>130</v>
      </c>
      <c r="R21" s="10" t="str">
        <v>フラッシュ</v>
      </c>
      <c r="S21" s="10">
        <v>70</v>
      </c>
      <c r="T21" s="10">
        <v>259.4909090909091</v>
      </c>
    </row>
    <row r="22" spans="1:20" ht="15.75" customHeight="1">
      <c r="A22" s="1" t="s">
        <v>35</v>
      </c>
      <c r="B22" s="6">
        <v>0.27</v>
      </c>
      <c r="C22" s="2">
        <v>0.15</v>
      </c>
      <c r="D22" s="2">
        <v>125</v>
      </c>
      <c r="E22" s="2">
        <v>0.68</v>
      </c>
      <c r="F22" s="4">
        <v>85</v>
      </c>
      <c r="G22" t="s">
        <v>12</v>
      </c>
      <c r="H22" s="4">
        <v>55</v>
      </c>
      <c r="I22" s="4">
        <f t="shared" si="0"/>
        <v>224.13636363636363</v>
      </c>
      <c r="J22" s="10">
        <f t="shared" si="1"/>
        <v>161.63636363636363</v>
      </c>
      <c r="K22">
        <v>1</v>
      </c>
      <c r="L22" t="str">
        <v>WsLeo</v>
      </c>
      <c r="M22">
        <v>0.36</v>
      </c>
      <c r="N22">
        <v>0.21</v>
      </c>
      <c r="O22">
        <v>130</v>
      </c>
      <c r="P22">
        <v>0.78</v>
      </c>
      <c r="Q22">
        <v>80</v>
      </c>
      <c r="R22" s="10" t="str">
        <v>シーカー</v>
      </c>
      <c r="S22" s="10">
        <v>50</v>
      </c>
      <c r="T22" s="10">
        <v>259.26363636363635</v>
      </c>
    </row>
    <row r="23" spans="1:20" ht="15.75" customHeight="1">
      <c r="A23" s="1" t="s">
        <v>36</v>
      </c>
      <c r="B23" s="7">
        <v>0.28000000000000003</v>
      </c>
      <c r="C23" s="2">
        <v>0.15</v>
      </c>
      <c r="D23" s="2">
        <v>128</v>
      </c>
      <c r="E23" s="1">
        <v>0.68</v>
      </c>
      <c r="F23" s="4">
        <v>85</v>
      </c>
      <c r="G23" t="s">
        <v>14</v>
      </c>
      <c r="H23" s="4">
        <v>70</v>
      </c>
      <c r="I23" s="4">
        <f t="shared" si="0"/>
        <v>226.93636363636364</v>
      </c>
      <c r="J23" s="10">
        <f t="shared" si="1"/>
        <v>162.93636363636364</v>
      </c>
      <c r="K23">
        <v>1</v>
      </c>
      <c r="L23" t="str">
        <v>Chronicle</v>
      </c>
      <c r="M23">
        <v>0.35</v>
      </c>
      <c r="N23">
        <v>0.2</v>
      </c>
      <c r="O23">
        <v>105</v>
      </c>
      <c r="P23">
        <v>0.7</v>
      </c>
      <c r="Q23">
        <v>135</v>
      </c>
      <c r="R23" s="10" t="str">
        <v>フラッシュ</v>
      </c>
      <c r="S23" s="10">
        <v>80</v>
      </c>
      <c r="T23" s="10">
        <v>258.36363636363637</v>
      </c>
    </row>
    <row r="24" spans="1:20" ht="15.75" customHeight="1">
      <c r="A24" s="1" t="s">
        <v>37</v>
      </c>
      <c r="B24" s="6">
        <v>0.47</v>
      </c>
      <c r="C24" s="2">
        <v>0.24</v>
      </c>
      <c r="D24" s="2">
        <v>59</v>
      </c>
      <c r="E24" s="1">
        <v>0.75</v>
      </c>
      <c r="F24" s="4">
        <v>98</v>
      </c>
      <c r="G24" t="s">
        <v>16</v>
      </c>
      <c r="H24" s="4">
        <v>90</v>
      </c>
      <c r="I24" s="4">
        <f t="shared" si="0"/>
        <v>247.44545454545451</v>
      </c>
      <c r="J24" s="10">
        <f t="shared" si="1"/>
        <v>217.94545454545451</v>
      </c>
      <c r="K24">
        <v>1</v>
      </c>
      <c r="L24" t="str">
        <v>jawgemo</v>
      </c>
      <c r="M24">
        <v>0.28000000000000003</v>
      </c>
      <c r="N24">
        <v>0.31</v>
      </c>
      <c r="O24">
        <v>93</v>
      </c>
      <c r="P24">
        <v>0.67</v>
      </c>
      <c r="Q24">
        <v>135</v>
      </c>
      <c r="R24" s="10" t="str">
        <v>タイガー</v>
      </c>
      <c r="S24" s="10">
        <v>75</v>
      </c>
      <c r="T24" s="10">
        <v>258.06363636363636</v>
      </c>
    </row>
    <row r="25" spans="1:20" ht="15.75" customHeight="1">
      <c r="A25" s="3" t="s">
        <v>38</v>
      </c>
      <c r="B25" s="8">
        <v>0.23</v>
      </c>
      <c r="C25" s="3">
        <v>0.34</v>
      </c>
      <c r="D25" s="3">
        <v>123</v>
      </c>
      <c r="E25" s="3">
        <v>0.81</v>
      </c>
      <c r="F25" s="4">
        <v>155</v>
      </c>
      <c r="G25" t="s">
        <v>16</v>
      </c>
      <c r="H25" s="4">
        <v>50</v>
      </c>
      <c r="I25" s="4">
        <f t="shared" si="0"/>
        <v>298.95454545454544</v>
      </c>
      <c r="J25" s="10">
        <f t="shared" si="1"/>
        <v>237.45454545454544</v>
      </c>
      <c r="K25">
        <v>1</v>
      </c>
      <c r="L25" t="str">
        <v>Derke</v>
      </c>
      <c r="M25">
        <v>0.35</v>
      </c>
      <c r="N25">
        <v>0.24</v>
      </c>
      <c r="O25">
        <v>90</v>
      </c>
      <c r="P25">
        <v>0.75</v>
      </c>
      <c r="Q25">
        <v>115</v>
      </c>
      <c r="R25" s="10" t="str">
        <v>フラッシュ</v>
      </c>
      <c r="S25" s="10">
        <v>100</v>
      </c>
      <c r="T25" s="10">
        <v>255.07272727272726</v>
      </c>
    </row>
    <row r="26" spans="1:20" ht="15.75" customHeight="1">
      <c r="A26" s="3" t="s">
        <v>39</v>
      </c>
      <c r="B26" s="8">
        <v>0.7</v>
      </c>
      <c r="C26" s="3">
        <v>0.21</v>
      </c>
      <c r="D26" s="3">
        <v>90</v>
      </c>
      <c r="E26" s="3">
        <v>0.67</v>
      </c>
      <c r="F26" s="4">
        <v>140</v>
      </c>
      <c r="G26" t="s">
        <v>18</v>
      </c>
      <c r="H26" s="4">
        <v>50</v>
      </c>
      <c r="I26" s="4">
        <f t="shared" si="0"/>
        <v>296.43636363636364</v>
      </c>
      <c r="J26" s="10">
        <f t="shared" si="1"/>
        <v>251.43636363636361</v>
      </c>
      <c r="K26">
        <v>1</v>
      </c>
      <c r="L26" t="str">
        <v>mada</v>
      </c>
      <c r="M26">
        <v>0.34</v>
      </c>
      <c r="N26">
        <v>0.23</v>
      </c>
      <c r="O26">
        <v>105</v>
      </c>
      <c r="P26">
        <v>0.74</v>
      </c>
      <c r="Q26">
        <v>105</v>
      </c>
      <c r="R26" s="10" t="str">
        <v>フラッシュ</v>
      </c>
      <c r="S26" s="10">
        <v>55</v>
      </c>
      <c r="T26" s="10">
        <v>253.72727272727272</v>
      </c>
    </row>
    <row r="27" spans="1:20" ht="15.75" customHeight="1">
      <c r="A27" s="3" t="s">
        <v>40</v>
      </c>
      <c r="B27" s="8">
        <v>6.7000000000000004E-2</v>
      </c>
      <c r="C27" s="3">
        <v>0.67</v>
      </c>
      <c r="D27" s="3">
        <v>67</v>
      </c>
      <c r="E27" s="3">
        <v>0.67</v>
      </c>
      <c r="F27" s="4">
        <v>67</v>
      </c>
      <c r="G27" t="s">
        <v>12</v>
      </c>
      <c r="H27" s="4">
        <v>50</v>
      </c>
      <c r="I27" s="4">
        <f t="shared" si="0"/>
        <v>247.66454545454548</v>
      </c>
      <c r="J27" s="10">
        <f t="shared" si="1"/>
        <v>214.16454545454548</v>
      </c>
      <c r="K27">
        <v>1</v>
      </c>
      <c r="L27" t="str">
        <v>おもこ</v>
      </c>
      <c r="M27">
        <v>6.7000000000000004E-2</v>
      </c>
      <c r="N27">
        <v>0.67</v>
      </c>
      <c r="O27">
        <v>67</v>
      </c>
      <c r="P27">
        <v>0.67</v>
      </c>
      <c r="Q27">
        <v>67</v>
      </c>
      <c r="R27" s="10" t="str">
        <v>フラッシュ</v>
      </c>
      <c r="S27" s="10">
        <v>50</v>
      </c>
      <c r="T27" s="10">
        <v>247.66454545454548</v>
      </c>
    </row>
    <row r="28" spans="1:20" ht="15.75" customHeight="1">
      <c r="A28" s="3" t="s">
        <v>41</v>
      </c>
      <c r="B28" s="8">
        <v>0.36</v>
      </c>
      <c r="C28" s="3">
        <v>0.28000000000000003</v>
      </c>
      <c r="D28" s="3">
        <v>73</v>
      </c>
      <c r="E28" s="3">
        <v>0.76</v>
      </c>
      <c r="F28" s="4">
        <v>95</v>
      </c>
      <c r="G28" t="s">
        <v>12</v>
      </c>
      <c r="H28" s="4">
        <v>75</v>
      </c>
      <c r="I28" s="4">
        <f t="shared" si="0"/>
        <v>246.8818181818182</v>
      </c>
      <c r="J28" s="10">
        <f t="shared" si="1"/>
        <v>210.3818181818182</v>
      </c>
      <c r="K28">
        <v>1</v>
      </c>
      <c r="L28" t="str">
        <v>Primmie</v>
      </c>
      <c r="M28">
        <v>0.47</v>
      </c>
      <c r="N28">
        <v>0.24</v>
      </c>
      <c r="O28">
        <v>59</v>
      </c>
      <c r="P28">
        <v>0.75</v>
      </c>
      <c r="Q28">
        <v>98</v>
      </c>
      <c r="R28" s="10" t="str">
        <v>タイガー</v>
      </c>
      <c r="S28" s="10">
        <v>90</v>
      </c>
      <c r="T28" s="10">
        <v>247.44545454545451</v>
      </c>
    </row>
    <row r="29" spans="1:20" ht="15.75" customHeight="1">
      <c r="A29" s="3" t="s">
        <v>42</v>
      </c>
      <c r="B29" s="8">
        <v>0.4</v>
      </c>
      <c r="C29" s="3">
        <v>0.14000000000000001</v>
      </c>
      <c r="D29" s="3">
        <v>70</v>
      </c>
      <c r="E29" s="3">
        <v>0.75</v>
      </c>
      <c r="F29" s="4">
        <v>86</v>
      </c>
      <c r="G29" t="s">
        <v>12</v>
      </c>
      <c r="H29" s="4">
        <v>80</v>
      </c>
      <c r="I29" s="4">
        <f t="shared" si="0"/>
        <v>221.3909090909091</v>
      </c>
      <c r="J29" s="10">
        <f t="shared" si="1"/>
        <v>186.3909090909091</v>
      </c>
      <c r="K29">
        <v>1</v>
      </c>
      <c r="L29" t="str">
        <v>Meteor</v>
      </c>
      <c r="M29">
        <v>0.36</v>
      </c>
      <c r="N29">
        <v>0.28000000000000003</v>
      </c>
      <c r="O29">
        <v>73</v>
      </c>
      <c r="P29">
        <v>0.76</v>
      </c>
      <c r="Q29">
        <v>95</v>
      </c>
      <c r="R29" s="10" t="str">
        <v>フラッシュ</v>
      </c>
      <c r="S29" s="10">
        <v>75</v>
      </c>
      <c r="T29" s="10">
        <v>246.8818181818182</v>
      </c>
    </row>
    <row r="30" spans="1:20" ht="15.75" customHeight="1">
      <c r="A30" s="3" t="s">
        <v>43</v>
      </c>
      <c r="B30" s="8">
        <v>0.3</v>
      </c>
      <c r="C30" s="3">
        <v>0.17</v>
      </c>
      <c r="D30" s="3">
        <v>65</v>
      </c>
      <c r="E30" s="3">
        <v>0.71</v>
      </c>
      <c r="F30" s="4">
        <v>150</v>
      </c>
      <c r="G30" t="s">
        <v>16</v>
      </c>
      <c r="H30" s="4">
        <v>90</v>
      </c>
      <c r="I30" s="4">
        <f t="shared" si="0"/>
        <v>234.88181818181818</v>
      </c>
      <c r="J30" s="10">
        <f t="shared" si="1"/>
        <v>202.38181818181818</v>
      </c>
      <c r="K30">
        <v>1</v>
      </c>
      <c r="L30" t="str">
        <v>HYUNMIN</v>
      </c>
      <c r="M30">
        <v>0.35</v>
      </c>
      <c r="N30">
        <v>0.24</v>
      </c>
      <c r="O30">
        <v>76</v>
      </c>
      <c r="P30">
        <v>0.75</v>
      </c>
      <c r="Q30">
        <v>110</v>
      </c>
      <c r="R30" s="10" t="str">
        <v>フラッシュ</v>
      </c>
      <c r="S30" s="10">
        <v>70</v>
      </c>
      <c r="T30" s="10">
        <v>245.8</v>
      </c>
    </row>
    <row r="31" spans="1:20" ht="15.75" customHeight="1">
      <c r="A31" s="3" t="s">
        <v>44</v>
      </c>
      <c r="B31" s="8">
        <v>0.32</v>
      </c>
      <c r="C31" s="3">
        <v>0.15</v>
      </c>
      <c r="D31" s="3">
        <v>90</v>
      </c>
      <c r="E31" s="3">
        <v>0.69</v>
      </c>
      <c r="F31" s="4">
        <v>95</v>
      </c>
      <c r="G31" t="s">
        <v>18</v>
      </c>
      <c r="H31" s="4">
        <v>90</v>
      </c>
      <c r="I31" s="4">
        <f t="shared" si="0"/>
        <v>218.98181818181817</v>
      </c>
      <c r="J31" s="10">
        <f t="shared" si="1"/>
        <v>173.98181818181817</v>
      </c>
      <c r="K31">
        <v>1</v>
      </c>
      <c r="L31" t="str">
        <v>kaajak</v>
      </c>
      <c r="M31">
        <v>0.35</v>
      </c>
      <c r="N31">
        <v>0.2</v>
      </c>
      <c r="O31">
        <v>95</v>
      </c>
      <c r="P31">
        <v>0.76</v>
      </c>
      <c r="Q31">
        <v>100</v>
      </c>
      <c r="R31" s="10" t="str">
        <v>フラッシュ</v>
      </c>
      <c r="S31" s="10">
        <v>70</v>
      </c>
      <c r="T31" s="10">
        <v>245.25454545454545</v>
      </c>
    </row>
    <row r="32" spans="1:20" ht="15.75" customHeight="1">
      <c r="A32" s="3" t="s">
        <v>45</v>
      </c>
      <c r="B32" s="8">
        <v>0.35</v>
      </c>
      <c r="C32" s="3">
        <v>0.24</v>
      </c>
      <c r="D32" s="3">
        <v>76</v>
      </c>
      <c r="E32" s="3">
        <v>0.75</v>
      </c>
      <c r="F32" s="4">
        <v>110</v>
      </c>
      <c r="G32" t="s">
        <v>12</v>
      </c>
      <c r="H32" s="4">
        <v>70</v>
      </c>
      <c r="I32" s="4">
        <f t="shared" si="0"/>
        <v>245.8</v>
      </c>
      <c r="J32" s="10">
        <f t="shared" si="1"/>
        <v>207.8</v>
      </c>
      <c r="K32">
        <v>1</v>
      </c>
      <c r="L32" t="str">
        <v>Wo0t</v>
      </c>
      <c r="M32">
        <v>0.4</v>
      </c>
      <c r="N32">
        <v>0.16</v>
      </c>
      <c r="O32">
        <v>78</v>
      </c>
      <c r="P32">
        <v>0.75</v>
      </c>
      <c r="Q32">
        <v>120</v>
      </c>
      <c r="R32" s="10" t="str">
        <v>タイガー</v>
      </c>
      <c r="S32" s="10">
        <v>75</v>
      </c>
      <c r="T32" s="10">
        <v>244.24545454545452</v>
      </c>
    </row>
    <row r="33" spans="1:20" ht="15.75" customHeight="1">
      <c r="A33" s="3" t="s">
        <v>46</v>
      </c>
      <c r="B33" s="8">
        <v>0.38</v>
      </c>
      <c r="C33" s="3">
        <v>0.22</v>
      </c>
      <c r="D33" s="3">
        <v>79</v>
      </c>
      <c r="E33" s="3">
        <v>0.77</v>
      </c>
      <c r="F33" s="4">
        <v>130</v>
      </c>
      <c r="G33" t="s">
        <v>12</v>
      </c>
      <c r="H33" s="4">
        <v>70</v>
      </c>
      <c r="I33" s="4">
        <f t="shared" si="0"/>
        <v>259.4909090909091</v>
      </c>
      <c r="J33" s="10">
        <f t="shared" si="1"/>
        <v>219.9909090909091</v>
      </c>
      <c r="K33">
        <v>1</v>
      </c>
      <c r="L33" t="str">
        <v>Zekken</v>
      </c>
      <c r="M33">
        <v>0.35</v>
      </c>
      <c r="N33">
        <v>0.25</v>
      </c>
      <c r="O33">
        <v>85</v>
      </c>
      <c r="P33">
        <v>0.7</v>
      </c>
      <c r="Q33">
        <v>105</v>
      </c>
      <c r="R33" s="10" t="str">
        <v>フラッシュ</v>
      </c>
      <c r="S33" s="10">
        <v>100</v>
      </c>
      <c r="T33" s="10">
        <v>243.22727272727272</v>
      </c>
    </row>
    <row r="34" spans="1:20" ht="15.75" customHeight="1">
      <c r="A34" t="s">
        <v>47</v>
      </c>
      <c r="B34" s="9">
        <v>0.28000000000000003</v>
      </c>
      <c r="C34">
        <v>0.16</v>
      </c>
      <c r="D34">
        <v>120</v>
      </c>
      <c r="E34">
        <v>0.7</v>
      </c>
      <c r="F34" s="4">
        <v>85</v>
      </c>
      <c r="G34" t="s">
        <v>14</v>
      </c>
      <c r="H34" s="4">
        <v>50</v>
      </c>
      <c r="I34" s="4">
        <f t="shared" si="0"/>
        <v>227.23636363636362</v>
      </c>
      <c r="J34" s="10">
        <f t="shared" si="1"/>
        <v>167.23636363636362</v>
      </c>
      <c r="K34">
        <v>1</v>
      </c>
      <c r="L34" t="str">
        <v>Smoggy</v>
      </c>
      <c r="M34">
        <v>0.38</v>
      </c>
      <c r="N34">
        <v>0.19</v>
      </c>
      <c r="O34">
        <v>75</v>
      </c>
      <c r="P34">
        <v>0.73</v>
      </c>
      <c r="Q34">
        <v>120</v>
      </c>
      <c r="R34" s="10" t="str">
        <v>スモーカー</v>
      </c>
      <c r="S34" s="10">
        <v>50</v>
      </c>
      <c r="T34" s="10">
        <v>242.64545454545453</v>
      </c>
    </row>
    <row r="35" spans="1:20" ht="15.75" customHeight="1">
      <c r="A35" t="s">
        <v>48</v>
      </c>
      <c r="B35">
        <v>0.33</v>
      </c>
      <c r="C35">
        <v>0.19</v>
      </c>
      <c r="D35">
        <v>93</v>
      </c>
      <c r="E35">
        <v>0.75</v>
      </c>
      <c r="F35" s="4">
        <v>150</v>
      </c>
      <c r="G35" t="s">
        <v>16</v>
      </c>
      <c r="H35" s="4">
        <v>75</v>
      </c>
      <c r="I35" s="4">
        <f t="shared" si="0"/>
        <v>261.38181818181818</v>
      </c>
      <c r="J35" s="10">
        <f t="shared" si="1"/>
        <v>214.88181818181818</v>
      </c>
      <c r="K35">
        <v>1</v>
      </c>
      <c r="L35" t="str">
        <v>IbarakiNinja</v>
      </c>
      <c r="M35">
        <v>0.28000000000000003</v>
      </c>
      <c r="N35">
        <v>0.16</v>
      </c>
      <c r="O35">
        <v>110</v>
      </c>
      <c r="P35">
        <v>0.75</v>
      </c>
      <c r="Q35">
        <v>115</v>
      </c>
      <c r="R35" s="10" t="str">
        <v>シーカー</v>
      </c>
      <c r="S35" s="10">
        <v>50</v>
      </c>
      <c r="T35" s="10">
        <v>242.37272727272727</v>
      </c>
    </row>
    <row r="36" spans="1:20" ht="15.75" customHeight="1">
      <c r="A36" t="s">
        <v>49</v>
      </c>
      <c r="B36">
        <v>0.3</v>
      </c>
      <c r="C36">
        <v>0.18</v>
      </c>
      <c r="D36">
        <v>120</v>
      </c>
      <c r="E36">
        <v>0.71</v>
      </c>
      <c r="F36" s="4">
        <v>85</v>
      </c>
      <c r="G36" t="s">
        <v>18</v>
      </c>
      <c r="H36" s="4">
        <v>40</v>
      </c>
      <c r="I36" s="4">
        <f t="shared" si="0"/>
        <v>234.5363636363636</v>
      </c>
      <c r="J36" s="10">
        <f t="shared" si="1"/>
        <v>174.5363636363636</v>
      </c>
      <c r="K36">
        <v>1</v>
      </c>
      <c r="L36" t="str">
        <v>Lar0k</v>
      </c>
      <c r="M36">
        <v>0.34</v>
      </c>
      <c r="N36">
        <v>0.18</v>
      </c>
      <c r="O36">
        <v>85</v>
      </c>
      <c r="P36">
        <v>0.73</v>
      </c>
      <c r="Q36">
        <v>123</v>
      </c>
      <c r="R36" s="10" t="str">
        <v>タイガー</v>
      </c>
      <c r="S36" s="10">
        <v>50</v>
      </c>
      <c r="T36" s="10">
        <v>242.1090909090909</v>
      </c>
    </row>
    <row r="37" spans="1:20" ht="15.75" customHeight="1">
      <c r="A37" t="s">
        <v>50</v>
      </c>
      <c r="B37">
        <v>0.38</v>
      </c>
      <c r="C37">
        <v>0.17</v>
      </c>
      <c r="D37">
        <v>89</v>
      </c>
      <c r="E37">
        <v>0.74</v>
      </c>
      <c r="F37" s="4">
        <v>80</v>
      </c>
      <c r="G37" t="s">
        <v>12</v>
      </c>
      <c r="H37" s="4">
        <v>40</v>
      </c>
      <c r="I37" s="4">
        <f t="shared" si="0"/>
        <v>229.36363636363637</v>
      </c>
      <c r="J37" s="10">
        <f t="shared" si="1"/>
        <v>184.86363636363637</v>
      </c>
      <c r="K37">
        <v>1</v>
      </c>
      <c r="L37" t="str">
        <v>Kachina</v>
      </c>
      <c r="M37">
        <v>0.45</v>
      </c>
      <c r="N37">
        <v>0.2</v>
      </c>
      <c r="O37">
        <v>60</v>
      </c>
      <c r="P37">
        <v>0.8</v>
      </c>
      <c r="Q37">
        <v>90</v>
      </c>
      <c r="R37" s="10" t="str">
        <v>タイガー</v>
      </c>
      <c r="S37" s="10">
        <v>40</v>
      </c>
      <c r="T37" s="10">
        <v>241.40909090909091</v>
      </c>
    </row>
    <row r="38" spans="1:20" ht="15.75" customHeight="1">
      <c r="A38" t="s">
        <v>51</v>
      </c>
      <c r="B38">
        <v>0.31</v>
      </c>
      <c r="C38">
        <v>0.19</v>
      </c>
      <c r="D38">
        <v>89</v>
      </c>
      <c r="E38">
        <v>0.72</v>
      </c>
      <c r="F38" s="4">
        <v>90</v>
      </c>
      <c r="G38" t="s">
        <v>14</v>
      </c>
      <c r="H38" s="4">
        <v>70</v>
      </c>
      <c r="I38" s="4">
        <f t="shared" si="0"/>
        <v>225.6090909090909</v>
      </c>
      <c r="J38" s="10">
        <f t="shared" si="1"/>
        <v>181.1090909090909</v>
      </c>
      <c r="K38">
        <v>1</v>
      </c>
      <c r="L38" t="str">
        <v>Rarga</v>
      </c>
      <c r="M38">
        <v>0.35</v>
      </c>
      <c r="N38">
        <v>0.19</v>
      </c>
      <c r="O38">
        <v>75</v>
      </c>
      <c r="P38">
        <v>0.75</v>
      </c>
      <c r="Q38">
        <v>120</v>
      </c>
      <c r="R38" s="10" t="str">
        <v>タイガー</v>
      </c>
      <c r="S38" s="10">
        <v>50</v>
      </c>
      <c r="T38" s="10">
        <v>241.34545454545454</v>
      </c>
    </row>
    <row r="39" spans="1:20" ht="15.75" customHeight="1">
      <c r="A39" t="s">
        <v>52</v>
      </c>
      <c r="B39">
        <v>0.28999999999999998</v>
      </c>
      <c r="C39">
        <v>0.23</v>
      </c>
      <c r="D39">
        <v>110</v>
      </c>
      <c r="E39">
        <v>0.67</v>
      </c>
      <c r="F39" s="4">
        <v>80</v>
      </c>
      <c r="G39" t="s">
        <v>14</v>
      </c>
      <c r="H39" s="4">
        <v>40</v>
      </c>
      <c r="I39" s="4">
        <f t="shared" si="0"/>
        <v>229.26363636363635</v>
      </c>
      <c r="J39" s="10">
        <f t="shared" si="1"/>
        <v>174.26363636363635</v>
      </c>
      <c r="K39">
        <v>1</v>
      </c>
      <c r="L39" t="str">
        <v>nAts</v>
      </c>
      <c r="M39">
        <v>0.28999999999999998</v>
      </c>
      <c r="N39">
        <v>0.18</v>
      </c>
      <c r="O39">
        <v>125</v>
      </c>
      <c r="P39">
        <v>0.71</v>
      </c>
      <c r="Q39">
        <v>88</v>
      </c>
      <c r="R39" s="10" t="str">
        <v>スモーカー</v>
      </c>
      <c r="S39" s="10">
        <v>50</v>
      </c>
      <c r="T39" s="10">
        <v>237.10000000000002</v>
      </c>
    </row>
    <row r="40" spans="1:20" ht="15.75" customHeight="1">
      <c r="A40" t="s">
        <v>53</v>
      </c>
      <c r="B40">
        <v>0.28999999999999998</v>
      </c>
      <c r="C40">
        <v>0.15</v>
      </c>
      <c r="D40">
        <v>130</v>
      </c>
      <c r="E40">
        <v>0.67</v>
      </c>
      <c r="F40" s="4">
        <v>80</v>
      </c>
      <c r="G40" t="s">
        <v>12</v>
      </c>
      <c r="H40" s="4">
        <v>70</v>
      </c>
      <c r="I40" s="4">
        <f t="shared" si="0"/>
        <v>225.66363636363633</v>
      </c>
      <c r="J40" s="10">
        <f t="shared" si="1"/>
        <v>160.66363636363636</v>
      </c>
      <c r="K40">
        <v>1</v>
      </c>
      <c r="L40" t="str">
        <v>Meiy</v>
      </c>
      <c r="M40">
        <v>0.35</v>
      </c>
      <c r="N40">
        <v>0.22</v>
      </c>
      <c r="O40">
        <v>70</v>
      </c>
      <c r="P40">
        <v>0.73</v>
      </c>
      <c r="Q40">
        <v>110</v>
      </c>
      <c r="R40" s="10" t="str">
        <v>タイガー</v>
      </c>
      <c r="S40" s="10">
        <v>90</v>
      </c>
      <c r="T40" s="10">
        <v>236.8</v>
      </c>
    </row>
    <row r="41" spans="1:20" ht="15.75" customHeight="1">
      <c r="A41" t="s">
        <v>54</v>
      </c>
      <c r="B41">
        <v>0.34</v>
      </c>
      <c r="C41">
        <v>0.18</v>
      </c>
      <c r="D41">
        <v>85</v>
      </c>
      <c r="E41">
        <v>0.73</v>
      </c>
      <c r="F41" s="4">
        <v>95</v>
      </c>
      <c r="G41" t="s">
        <v>12</v>
      </c>
      <c r="H41" s="4">
        <v>60</v>
      </c>
      <c r="I41" s="4">
        <f t="shared" si="0"/>
        <v>229.38181818181818</v>
      </c>
      <c r="J41" s="10">
        <f t="shared" si="1"/>
        <v>186.88181818181818</v>
      </c>
      <c r="K41">
        <v>1</v>
      </c>
      <c r="L41" t="str">
        <v>Lysoar</v>
      </c>
      <c r="M41">
        <v>0.33</v>
      </c>
      <c r="N41">
        <v>0.17</v>
      </c>
      <c r="O41">
        <v>105</v>
      </c>
      <c r="P41">
        <v>0.71</v>
      </c>
      <c r="Q41">
        <v>100</v>
      </c>
      <c r="R41" s="10" t="str">
        <v>スモーカー</v>
      </c>
      <c r="S41" s="10">
        <v>50</v>
      </c>
      <c r="T41" s="10">
        <v>236.05454545454546</v>
      </c>
    </row>
    <row r="42" spans="1:20" ht="15.75" customHeight="1">
      <c r="A42" t="s">
        <v>55</v>
      </c>
      <c r="B42">
        <v>0.33</v>
      </c>
      <c r="C42">
        <v>0.18</v>
      </c>
      <c r="D42">
        <v>100</v>
      </c>
      <c r="E42">
        <v>0.73</v>
      </c>
      <c r="F42" s="4">
        <v>93</v>
      </c>
      <c r="G42" t="s">
        <v>14</v>
      </c>
      <c r="H42" s="4">
        <v>60</v>
      </c>
      <c r="I42" s="4">
        <f t="shared" si="0"/>
        <v>234.67272727272729</v>
      </c>
      <c r="J42" s="10">
        <f t="shared" si="1"/>
        <v>184.67272727272729</v>
      </c>
      <c r="K42">
        <v>1</v>
      </c>
      <c r="L42" t="str">
        <v>ZMJKK</v>
      </c>
      <c r="M42">
        <v>0.3</v>
      </c>
      <c r="N42">
        <v>0.17</v>
      </c>
      <c r="O42">
        <v>65</v>
      </c>
      <c r="P42">
        <v>0.71</v>
      </c>
      <c r="Q42">
        <v>150</v>
      </c>
      <c r="R42" s="10" t="str">
        <v>タイガー</v>
      </c>
      <c r="S42" s="10">
        <v>90</v>
      </c>
      <c r="T42" s="10">
        <v>234.88181818181818</v>
      </c>
    </row>
    <row r="43" spans="1:20" ht="15.75" customHeight="1">
      <c r="A43" t="s">
        <v>56</v>
      </c>
      <c r="B43">
        <v>0.35</v>
      </c>
      <c r="C43">
        <v>0.25</v>
      </c>
      <c r="D43">
        <v>85</v>
      </c>
      <c r="E43">
        <v>0.7</v>
      </c>
      <c r="F43" s="4">
        <v>105</v>
      </c>
      <c r="G43" t="s">
        <v>12</v>
      </c>
      <c r="H43" s="4">
        <v>100</v>
      </c>
      <c r="I43" s="4">
        <f t="shared" si="0"/>
        <v>243.22727272727272</v>
      </c>
      <c r="J43" s="10">
        <f t="shared" si="1"/>
        <v>200.72727272727272</v>
      </c>
      <c r="K43">
        <v>1</v>
      </c>
      <c r="L43" t="str">
        <v>Mazino</v>
      </c>
      <c r="M43">
        <v>0.33</v>
      </c>
      <c r="N43">
        <v>0.18</v>
      </c>
      <c r="O43">
        <v>100</v>
      </c>
      <c r="P43">
        <v>0.73</v>
      </c>
      <c r="Q43">
        <v>93</v>
      </c>
      <c r="R43" s="10" t="str">
        <v>スモーカー</v>
      </c>
      <c r="S43" s="10">
        <v>60</v>
      </c>
      <c r="T43" s="10">
        <v>234.67272727272729</v>
      </c>
    </row>
    <row r="44" spans="1:20" ht="15.75" customHeight="1">
      <c r="A44" t="s">
        <v>57</v>
      </c>
      <c r="B44">
        <v>0.4</v>
      </c>
      <c r="C44">
        <v>0.15</v>
      </c>
      <c r="D44">
        <v>85</v>
      </c>
      <c r="E44">
        <v>0.73</v>
      </c>
      <c r="F44" s="4">
        <v>100</v>
      </c>
      <c r="G44" t="s">
        <v>16</v>
      </c>
      <c r="H44" s="4">
        <v>55</v>
      </c>
      <c r="I44" s="4">
        <f t="shared" si="0"/>
        <v>234.35454545454547</v>
      </c>
      <c r="J44" s="10">
        <f t="shared" si="1"/>
        <v>191.85454545454547</v>
      </c>
      <c r="K44">
        <v>1</v>
      </c>
      <c r="L44" t="str">
        <v>trent</v>
      </c>
      <c r="M44">
        <v>0.3</v>
      </c>
      <c r="N44">
        <v>0.18</v>
      </c>
      <c r="O44">
        <v>120</v>
      </c>
      <c r="P44">
        <v>0.71</v>
      </c>
      <c r="Q44">
        <v>85</v>
      </c>
      <c r="R44" s="10" t="str">
        <v>シーカー</v>
      </c>
      <c r="S44" s="10">
        <v>40</v>
      </c>
      <c r="T44" s="10">
        <v>234.5363636363636</v>
      </c>
    </row>
    <row r="45" spans="1:20" ht="15.75" customHeight="1">
      <c r="A45" t="s">
        <v>58</v>
      </c>
      <c r="B45">
        <v>0.33</v>
      </c>
      <c r="C45">
        <v>0.22</v>
      </c>
      <c r="D45">
        <v>75</v>
      </c>
      <c r="E45">
        <v>0.73</v>
      </c>
      <c r="F45" s="4">
        <v>100</v>
      </c>
      <c r="G45" t="s">
        <v>16</v>
      </c>
      <c r="H45" s="4">
        <v>50</v>
      </c>
      <c r="I45" s="4">
        <f t="shared" si="0"/>
        <v>232.15454545454543</v>
      </c>
      <c r="J45" s="10">
        <f t="shared" si="1"/>
        <v>194.65454545454543</v>
      </c>
      <c r="K45">
        <v>1</v>
      </c>
      <c r="L45" t="str">
        <v>Sato</v>
      </c>
      <c r="M45">
        <v>0.4</v>
      </c>
      <c r="N45">
        <v>0.19</v>
      </c>
      <c r="O45">
        <v>67</v>
      </c>
      <c r="P45">
        <v>0.73</v>
      </c>
      <c r="Q45">
        <v>105</v>
      </c>
      <c r="R45" s="10" t="str">
        <v>フラッシュ</v>
      </c>
      <c r="S45" s="10">
        <v>60</v>
      </c>
      <c r="T45" s="10">
        <v>234.42727272727271</v>
      </c>
    </row>
    <row r="46" spans="1:20" ht="15.75" customHeight="1">
      <c r="A46" t="s">
        <v>59</v>
      </c>
      <c r="B46">
        <v>0.28999999999999998</v>
      </c>
      <c r="C46">
        <v>0.18</v>
      </c>
      <c r="D46">
        <v>120</v>
      </c>
      <c r="E46">
        <v>0.65</v>
      </c>
      <c r="F46" s="4">
        <v>93</v>
      </c>
      <c r="G46" t="s">
        <v>14</v>
      </c>
      <c r="H46" s="4">
        <v>40</v>
      </c>
      <c r="I46" s="4">
        <f t="shared" si="0"/>
        <v>229.07272727272726</v>
      </c>
      <c r="J46" s="10">
        <f t="shared" si="1"/>
        <v>169.07272727272726</v>
      </c>
      <c r="K46">
        <v>1</v>
      </c>
      <c r="L46" t="str">
        <v>BABYBAY</v>
      </c>
      <c r="M46">
        <v>0.4</v>
      </c>
      <c r="N46">
        <v>0.15</v>
      </c>
      <c r="O46">
        <v>85</v>
      </c>
      <c r="P46">
        <v>0.73</v>
      </c>
      <c r="Q46">
        <v>100</v>
      </c>
      <c r="R46" s="10" t="str">
        <v>タイガー</v>
      </c>
      <c r="S46" s="10">
        <v>55</v>
      </c>
      <c r="T46" s="10">
        <v>234.35454545454547</v>
      </c>
    </row>
    <row r="47" spans="1:20" ht="15.75" customHeight="1">
      <c r="A47" t="s">
        <v>60</v>
      </c>
      <c r="B47">
        <v>0.3</v>
      </c>
      <c r="C47">
        <v>0.23</v>
      </c>
      <c r="D47">
        <v>80</v>
      </c>
      <c r="E47">
        <v>0.72</v>
      </c>
      <c r="F47" s="4">
        <v>100</v>
      </c>
      <c r="G47" t="s">
        <v>16</v>
      </c>
      <c r="H47" s="4">
        <v>60</v>
      </c>
      <c r="I47" s="4">
        <f t="shared" si="0"/>
        <v>231.15454545454543</v>
      </c>
      <c r="J47" s="10">
        <f t="shared" si="1"/>
        <v>191.15454545454543</v>
      </c>
      <c r="K47">
        <v>1</v>
      </c>
      <c r="L47" t="str">
        <v>crashies</v>
      </c>
      <c r="M47">
        <v>0.28000000000000003</v>
      </c>
      <c r="N47">
        <v>0.17</v>
      </c>
      <c r="O47">
        <v>140</v>
      </c>
      <c r="P47">
        <v>0.68</v>
      </c>
      <c r="Q47">
        <v>80</v>
      </c>
      <c r="R47" s="10" t="str">
        <v>シーカー</v>
      </c>
      <c r="S47" s="10">
        <v>45</v>
      </c>
      <c r="T47" s="10">
        <v>234.06363636363636</v>
      </c>
    </row>
    <row r="48" spans="1:20" ht="15.75" customHeight="1">
      <c r="A48" t="s">
        <v>61</v>
      </c>
      <c r="B48">
        <v>0.38</v>
      </c>
      <c r="C48">
        <v>0.23</v>
      </c>
      <c r="D48">
        <v>105</v>
      </c>
      <c r="E48">
        <v>0.76</v>
      </c>
      <c r="F48" s="4">
        <v>120</v>
      </c>
      <c r="G48" t="s">
        <v>14</v>
      </c>
      <c r="H48" s="4">
        <v>170</v>
      </c>
      <c r="I48" s="4">
        <f t="shared" si="0"/>
        <v>268.34545454545457</v>
      </c>
      <c r="J48" s="10">
        <f t="shared" si="1"/>
        <v>215.84545454545454</v>
      </c>
      <c r="K48">
        <v>1</v>
      </c>
      <c r="L48" t="str">
        <v>Dep</v>
      </c>
      <c r="M48">
        <v>0.33</v>
      </c>
      <c r="N48">
        <v>0.22</v>
      </c>
      <c r="O48">
        <v>75</v>
      </c>
      <c r="P48">
        <v>0.73</v>
      </c>
      <c r="Q48">
        <v>100</v>
      </c>
      <c r="R48" s="10" t="str">
        <v>タイガー</v>
      </c>
      <c r="S48" s="10">
        <v>50</v>
      </c>
      <c r="T48" s="10">
        <v>232.15454545454543</v>
      </c>
    </row>
    <row r="49" spans="1:20" ht="15.75" customHeight="1">
      <c r="A49" t="s">
        <v>62</v>
      </c>
      <c r="B49">
        <v>0.3</v>
      </c>
      <c r="C49">
        <v>0.22</v>
      </c>
      <c r="D49">
        <v>88</v>
      </c>
      <c r="E49">
        <v>0.7</v>
      </c>
      <c r="F49" s="4">
        <v>95</v>
      </c>
      <c r="G49" t="s">
        <v>12</v>
      </c>
      <c r="H49" s="4">
        <v>50</v>
      </c>
      <c r="I49" s="4">
        <f t="shared" si="0"/>
        <v>228.58181818181816</v>
      </c>
      <c r="J49" s="10">
        <f t="shared" si="1"/>
        <v>184.58181818181816</v>
      </c>
      <c r="K49">
        <v>1</v>
      </c>
      <c r="L49" t="str">
        <v>Buzz</v>
      </c>
      <c r="M49">
        <v>0.3</v>
      </c>
      <c r="N49">
        <v>0.23</v>
      </c>
      <c r="O49">
        <v>80</v>
      </c>
      <c r="P49">
        <v>0.72</v>
      </c>
      <c r="Q49">
        <v>100</v>
      </c>
      <c r="R49" s="10" t="str">
        <v>タイガー</v>
      </c>
      <c r="S49" s="10">
        <v>60</v>
      </c>
      <c r="T49" s="10">
        <v>231.15454545454543</v>
      </c>
    </row>
    <row r="50" spans="1:20" ht="15.75" customHeight="1">
      <c r="A50" s="5" t="s">
        <v>63</v>
      </c>
      <c r="B50" s="5">
        <v>0.3</v>
      </c>
      <c r="C50" s="5">
        <v>0.18</v>
      </c>
      <c r="D50" s="5">
        <v>89</v>
      </c>
      <c r="E50" s="5">
        <v>0.7</v>
      </c>
      <c r="F50" s="4">
        <v>100</v>
      </c>
      <c r="G50" t="s">
        <v>18</v>
      </c>
      <c r="H50" s="4">
        <v>50</v>
      </c>
      <c r="I50" s="4">
        <f t="shared" si="0"/>
        <v>224.5545454545454</v>
      </c>
      <c r="J50" s="10">
        <f t="shared" si="1"/>
        <v>180.0545454545454</v>
      </c>
      <c r="K50">
        <v>1</v>
      </c>
      <c r="L50" t="str">
        <v>C0M</v>
      </c>
      <c r="M50">
        <v>0.28000000000000003</v>
      </c>
      <c r="N50">
        <v>0.16</v>
      </c>
      <c r="O50">
        <v>120</v>
      </c>
      <c r="P50">
        <v>0.69</v>
      </c>
      <c r="Q50">
        <v>95</v>
      </c>
      <c r="R50" s="10" t="str">
        <v>シーカー</v>
      </c>
      <c r="S50" s="10">
        <v>60</v>
      </c>
      <c r="T50" s="10">
        <v>230.4818181818182</v>
      </c>
    </row>
    <row r="51" spans="1:20" ht="15.75" customHeight="1">
      <c r="A51" s="5" t="s">
        <v>64</v>
      </c>
      <c r="B51" s="5">
        <v>0.35</v>
      </c>
      <c r="C51" s="5">
        <v>0.19</v>
      </c>
      <c r="D51" s="5">
        <v>75</v>
      </c>
      <c r="E51" s="5">
        <v>0.75</v>
      </c>
      <c r="F51" s="4">
        <v>120</v>
      </c>
      <c r="G51" t="s">
        <v>16</v>
      </c>
      <c r="H51" s="4">
        <v>50</v>
      </c>
      <c r="I51" s="4">
        <f t="shared" si="0"/>
        <v>241.34545454545454</v>
      </c>
      <c r="J51" s="10">
        <f t="shared" si="1"/>
        <v>203.84545454545454</v>
      </c>
      <c r="K51">
        <v>1</v>
      </c>
      <c r="L51" t="str">
        <v>tex</v>
      </c>
      <c r="M51">
        <v>0.34</v>
      </c>
      <c r="N51">
        <v>0.18</v>
      </c>
      <c r="O51">
        <v>85</v>
      </c>
      <c r="P51">
        <v>0.73</v>
      </c>
      <c r="Q51">
        <v>95</v>
      </c>
      <c r="R51" s="10" t="str">
        <v>フラッシュ</v>
      </c>
      <c r="S51" s="10">
        <v>60</v>
      </c>
      <c r="T51" s="10">
        <v>229.38181818181818</v>
      </c>
    </row>
    <row r="52" spans="1:20" ht="15.75" customHeight="1">
      <c r="A52" s="5" t="s">
        <v>65</v>
      </c>
      <c r="B52" s="5">
        <v>0.33</v>
      </c>
      <c r="C52" s="5">
        <v>0.17</v>
      </c>
      <c r="D52" s="5">
        <v>105</v>
      </c>
      <c r="E52" s="5">
        <v>0.71</v>
      </c>
      <c r="F52" s="4">
        <v>100</v>
      </c>
      <c r="G52" t="s">
        <v>14</v>
      </c>
      <c r="H52" s="4">
        <v>50</v>
      </c>
      <c r="I52" s="4">
        <f t="shared" si="0"/>
        <v>236.05454545454546</v>
      </c>
      <c r="J52" s="10">
        <f t="shared" si="1"/>
        <v>183.55454545454546</v>
      </c>
      <c r="K52">
        <v>1</v>
      </c>
      <c r="L52" t="str">
        <v>leaf</v>
      </c>
      <c r="M52">
        <v>0.38</v>
      </c>
      <c r="N52">
        <v>0.17</v>
      </c>
      <c r="O52">
        <v>89</v>
      </c>
      <c r="P52">
        <v>0.74</v>
      </c>
      <c r="Q52">
        <v>80</v>
      </c>
      <c r="R52" s="10" t="str">
        <v>フラッシュ</v>
      </c>
      <c r="S52" s="10">
        <v>40</v>
      </c>
      <c r="T52" s="10">
        <v>229.36363636363637</v>
      </c>
    </row>
    <row r="53" spans="1:20" ht="15.75" customHeight="1">
      <c r="A53" s="5" t="s">
        <v>66</v>
      </c>
      <c r="B53" s="5">
        <v>0.38</v>
      </c>
      <c r="C53" s="5">
        <v>0.19</v>
      </c>
      <c r="D53" s="5">
        <v>75</v>
      </c>
      <c r="E53" s="5">
        <v>0.73</v>
      </c>
      <c r="F53" s="4">
        <v>120</v>
      </c>
      <c r="G53" t="s">
        <v>14</v>
      </c>
      <c r="H53" s="4">
        <v>50</v>
      </c>
      <c r="I53" s="4">
        <f t="shared" si="0"/>
        <v>242.64545454545453</v>
      </c>
      <c r="J53" s="10">
        <f t="shared" si="1"/>
        <v>205.14545454545453</v>
      </c>
      <c r="K53">
        <v>1</v>
      </c>
      <c r="L53" t="str">
        <v>Rb</v>
      </c>
      <c r="M53">
        <v>0.28999999999999998</v>
      </c>
      <c r="N53">
        <v>0.23</v>
      </c>
      <c r="O53">
        <v>110</v>
      </c>
      <c r="P53">
        <v>0.67</v>
      </c>
      <c r="Q53">
        <v>80</v>
      </c>
      <c r="R53" s="10" t="str">
        <v>スモーカー</v>
      </c>
      <c r="S53" s="10">
        <v>40</v>
      </c>
      <c r="T53" s="10">
        <v>229.26363636363635</v>
      </c>
    </row>
    <row r="54" spans="1:20" ht="15.75" customHeight="1">
      <c r="A54" s="5" t="s">
        <v>67</v>
      </c>
      <c r="B54" s="5">
        <v>0.32</v>
      </c>
      <c r="C54" s="5">
        <v>0.18</v>
      </c>
      <c r="D54" s="5">
        <v>80</v>
      </c>
      <c r="E54" s="5">
        <v>0.74</v>
      </c>
      <c r="F54" s="4">
        <v>100</v>
      </c>
      <c r="G54" t="s">
        <v>14</v>
      </c>
      <c r="H54" s="4">
        <v>50</v>
      </c>
      <c r="I54" s="4">
        <f t="shared" si="0"/>
        <v>227.85454545454547</v>
      </c>
      <c r="J54" s="10">
        <f t="shared" si="1"/>
        <v>187.85454545454547</v>
      </c>
      <c r="K54">
        <v>1</v>
      </c>
      <c r="L54" t="str">
        <v>SugarZ3ro</v>
      </c>
      <c r="M54">
        <v>0.28999999999999998</v>
      </c>
      <c r="N54">
        <v>0.18</v>
      </c>
      <c r="O54">
        <v>120</v>
      </c>
      <c r="P54">
        <v>0.65</v>
      </c>
      <c r="Q54">
        <v>93</v>
      </c>
      <c r="R54" s="10" t="str">
        <v>スモーカー</v>
      </c>
      <c r="S54" s="10">
        <v>40</v>
      </c>
      <c r="T54" s="10">
        <v>229.07272727272726</v>
      </c>
    </row>
    <row r="55" spans="1:20" ht="15.75" customHeight="1">
      <c r="A55" s="5" t="s">
        <v>68</v>
      </c>
      <c r="B55" s="5">
        <v>0.28000000000000003</v>
      </c>
      <c r="C55" s="5">
        <v>0.17</v>
      </c>
      <c r="D55" s="5">
        <v>140</v>
      </c>
      <c r="E55" s="5">
        <v>0.68</v>
      </c>
      <c r="F55" s="4">
        <v>80</v>
      </c>
      <c r="G55" t="s">
        <v>18</v>
      </c>
      <c r="H55" s="4">
        <v>45</v>
      </c>
      <c r="I55" s="4">
        <f t="shared" si="0"/>
        <v>234.06363636363636</v>
      </c>
      <c r="J55" s="10">
        <f t="shared" si="1"/>
        <v>164.06363636363636</v>
      </c>
      <c r="K55">
        <v>1</v>
      </c>
      <c r="L55" t="str">
        <v>eggsterr</v>
      </c>
      <c r="M55">
        <v>0.3</v>
      </c>
      <c r="N55">
        <v>0.22</v>
      </c>
      <c r="O55">
        <v>88</v>
      </c>
      <c r="P55">
        <v>0.7</v>
      </c>
      <c r="Q55">
        <v>95</v>
      </c>
      <c r="R55" s="10" t="str">
        <v>フラッシュ</v>
      </c>
      <c r="S55" s="10">
        <v>50</v>
      </c>
      <c r="T55" s="10">
        <v>228.58181818181816</v>
      </c>
    </row>
    <row r="56" spans="1:20" ht="15.75" customHeight="1">
      <c r="A56" s="5" t="s">
        <v>69</v>
      </c>
      <c r="B56" s="5">
        <v>0.15</v>
      </c>
      <c r="C56" s="3">
        <v>0.13</v>
      </c>
      <c r="D56" s="5">
        <v>170</v>
      </c>
      <c r="E56" s="5">
        <v>0.63</v>
      </c>
      <c r="F56" s="4">
        <v>70</v>
      </c>
      <c r="G56" t="s">
        <v>14</v>
      </c>
      <c r="H56" s="4">
        <v>40</v>
      </c>
      <c r="I56" s="4">
        <f t="shared" si="0"/>
        <v>214.31818181818181</v>
      </c>
      <c r="J56" s="10">
        <f t="shared" si="1"/>
        <v>129.31818181818181</v>
      </c>
      <c r="K56">
        <v>1</v>
      </c>
      <c r="L56" t="str">
        <v>skuba</v>
      </c>
      <c r="M56">
        <v>0.31</v>
      </c>
      <c r="N56">
        <v>0.17</v>
      </c>
      <c r="O56">
        <v>95</v>
      </c>
      <c r="P56">
        <v>0.71</v>
      </c>
      <c r="Q56">
        <v>100</v>
      </c>
      <c r="R56" s="10" t="str">
        <v>スモーカー</v>
      </c>
      <c r="S56" s="10">
        <v>50</v>
      </c>
      <c r="T56" s="10">
        <v>228.45454545454544</v>
      </c>
    </row>
    <row r="57" spans="1:20" ht="15.75" customHeight="1">
      <c r="A57" s="5" t="s">
        <v>70</v>
      </c>
      <c r="B57" s="5">
        <v>0.28999999999999998</v>
      </c>
      <c r="C57" s="5">
        <v>0.18</v>
      </c>
      <c r="D57" s="5">
        <v>125</v>
      </c>
      <c r="E57" s="5">
        <v>0.71</v>
      </c>
      <c r="F57" s="4">
        <v>88</v>
      </c>
      <c r="G57" t="s">
        <v>14</v>
      </c>
      <c r="H57" s="4">
        <v>50</v>
      </c>
      <c r="I57" s="4">
        <f t="shared" si="0"/>
        <v>237.10000000000002</v>
      </c>
      <c r="J57" s="10">
        <f t="shared" si="1"/>
        <v>174.6</v>
      </c>
      <c r="K57">
        <v>1</v>
      </c>
      <c r="L57" t="str">
        <v>CHICHOO</v>
      </c>
      <c r="M57">
        <v>0.32</v>
      </c>
      <c r="N57">
        <v>0.18</v>
      </c>
      <c r="O57">
        <v>80</v>
      </c>
      <c r="P57">
        <v>0.74</v>
      </c>
      <c r="Q57">
        <v>100</v>
      </c>
      <c r="R57" s="10" t="str">
        <v>スモーカー</v>
      </c>
      <c r="S57" s="10">
        <v>50</v>
      </c>
      <c r="T57" s="10">
        <v>227.85454545454547</v>
      </c>
    </row>
    <row r="58" spans="1:20" ht="15.75" customHeight="1">
      <c r="A58" s="5" t="s">
        <v>71</v>
      </c>
      <c r="B58" s="5">
        <v>0.34</v>
      </c>
      <c r="C58" s="5">
        <v>0.18</v>
      </c>
      <c r="D58" s="5">
        <v>85</v>
      </c>
      <c r="E58" s="5">
        <v>0.73</v>
      </c>
      <c r="F58" s="4">
        <v>123</v>
      </c>
      <c r="G58" t="s">
        <v>16</v>
      </c>
      <c r="H58" s="4">
        <v>50</v>
      </c>
      <c r="I58" s="4">
        <f t="shared" si="0"/>
        <v>242.1090909090909</v>
      </c>
      <c r="J58" s="10">
        <f t="shared" si="1"/>
        <v>199.6090909090909</v>
      </c>
      <c r="K58">
        <v>1</v>
      </c>
      <c r="L58" t="str">
        <v>Mako</v>
      </c>
      <c r="M58">
        <v>0.28000000000000003</v>
      </c>
      <c r="N58">
        <v>0.16</v>
      </c>
      <c r="O58">
        <v>120</v>
      </c>
      <c r="P58">
        <v>0.7</v>
      </c>
      <c r="Q58">
        <v>85</v>
      </c>
      <c r="R58" s="10" t="str">
        <v>スモーカー</v>
      </c>
      <c r="S58" s="10">
        <v>50</v>
      </c>
      <c r="T58" s="10">
        <v>227.23636363636362</v>
      </c>
    </row>
    <row r="59" spans="1:20" ht="15.75" customHeight="1">
      <c r="A59" s="5" t="s">
        <v>72</v>
      </c>
      <c r="B59" s="5">
        <v>0.31</v>
      </c>
      <c r="C59" s="5">
        <v>0.17</v>
      </c>
      <c r="D59" s="5">
        <v>95</v>
      </c>
      <c r="E59" s="5">
        <v>0.71</v>
      </c>
      <c r="F59" s="4">
        <v>100</v>
      </c>
      <c r="G59" t="s">
        <v>14</v>
      </c>
      <c r="H59" s="4">
        <v>50</v>
      </c>
      <c r="I59" s="4">
        <f t="shared" si="0"/>
        <v>228.45454545454544</v>
      </c>
      <c r="J59" s="10">
        <f t="shared" si="1"/>
        <v>180.95454545454544</v>
      </c>
      <c r="K59">
        <v>1</v>
      </c>
      <c r="L59" t="str">
        <v>Boaster</v>
      </c>
      <c r="M59">
        <v>0.2</v>
      </c>
      <c r="N59">
        <v>0.12</v>
      </c>
      <c r="O59">
        <v>165</v>
      </c>
      <c r="P59">
        <v>0.62</v>
      </c>
      <c r="Q59">
        <v>96</v>
      </c>
      <c r="R59" s="10" t="str">
        <v>スモーカー</v>
      </c>
      <c r="S59" s="10">
        <v>50</v>
      </c>
      <c r="T59" s="10">
        <v>227.13636363636363</v>
      </c>
    </row>
    <row r="60" spans="1:20" ht="15.75" customHeight="1">
      <c r="A60" s="5" t="s">
        <v>73</v>
      </c>
      <c r="B60" s="5">
        <v>0.28000000000000003</v>
      </c>
      <c r="C60" s="5">
        <v>0.16</v>
      </c>
      <c r="D60" s="5">
        <v>120</v>
      </c>
      <c r="E60" s="5">
        <v>0.69</v>
      </c>
      <c r="F60" s="4">
        <v>95</v>
      </c>
      <c r="G60" t="s">
        <v>18</v>
      </c>
      <c r="H60" s="4">
        <v>60</v>
      </c>
      <c r="I60" s="4">
        <f t="shared" si="0"/>
        <v>230.4818181818182</v>
      </c>
      <c r="J60" s="10">
        <f t="shared" si="1"/>
        <v>170.48181818181817</v>
      </c>
      <c r="K60">
        <v>1</v>
      </c>
      <c r="L60" t="str">
        <v>F0rsakeN</v>
      </c>
      <c r="M60">
        <v>0.26</v>
      </c>
      <c r="N60">
        <v>0.14000000000000001</v>
      </c>
      <c r="O60">
        <v>125</v>
      </c>
      <c r="P60">
        <v>0.69</v>
      </c>
      <c r="Q60">
        <v>95</v>
      </c>
      <c r="R60" s="10" t="str">
        <v>スモーカー</v>
      </c>
      <c r="S60" s="10">
        <v>50</v>
      </c>
      <c r="T60" s="10">
        <v>226.9818181818182</v>
      </c>
    </row>
    <row r="61" spans="1:20" ht="15.75" customHeight="1">
      <c r="A61" s="5" t="s">
        <v>74</v>
      </c>
      <c r="B61" s="5">
        <v>0.34</v>
      </c>
      <c r="C61" s="5">
        <v>0.23</v>
      </c>
      <c r="D61" s="5">
        <v>105</v>
      </c>
      <c r="E61" s="5">
        <v>0.74</v>
      </c>
      <c r="F61" s="4">
        <v>105</v>
      </c>
      <c r="G61" t="s">
        <v>12</v>
      </c>
      <c r="H61" s="4">
        <v>55</v>
      </c>
      <c r="I61" s="4">
        <f t="shared" si="0"/>
        <v>253.72727272727272</v>
      </c>
      <c r="J61" s="10">
        <f t="shared" si="1"/>
        <v>201.22727272727272</v>
      </c>
      <c r="K61">
        <v>1</v>
      </c>
      <c r="L61" t="str">
        <v>Boostio</v>
      </c>
      <c r="M61">
        <v>0.28000000000000003</v>
      </c>
      <c r="N61">
        <v>0.15</v>
      </c>
      <c r="O61">
        <v>128</v>
      </c>
      <c r="P61">
        <v>0.68</v>
      </c>
      <c r="Q61">
        <v>85</v>
      </c>
      <c r="R61" s="10" t="str">
        <v>スモーカー</v>
      </c>
      <c r="S61" s="10">
        <v>70</v>
      </c>
      <c r="T61" s="10">
        <v>226.93636363636364</v>
      </c>
    </row>
    <row r="62" spans="1:20" ht="15.75" customHeight="1">
      <c r="A62" s="5" t="s">
        <v>75</v>
      </c>
      <c r="B62" s="5">
        <v>0.3</v>
      </c>
      <c r="C62" s="5">
        <v>0.23</v>
      </c>
      <c r="D62" s="5">
        <v>145</v>
      </c>
      <c r="E62" s="5">
        <v>0.7</v>
      </c>
      <c r="F62" s="4">
        <v>116</v>
      </c>
      <c r="G62" t="s">
        <v>14</v>
      </c>
      <c r="H62" s="4">
        <v>55</v>
      </c>
      <c r="I62" s="4">
        <f t="shared" si="0"/>
        <v>268.32727272727266</v>
      </c>
      <c r="J62" s="10">
        <f t="shared" si="1"/>
        <v>195.82727272727269</v>
      </c>
      <c r="K62">
        <v>1</v>
      </c>
      <c r="L62" t="str">
        <v>valyn</v>
      </c>
      <c r="M62">
        <v>0.26</v>
      </c>
      <c r="N62">
        <v>0.13</v>
      </c>
      <c r="O62">
        <v>140</v>
      </c>
      <c r="P62">
        <v>0.64</v>
      </c>
      <c r="Q62">
        <v>95</v>
      </c>
      <c r="R62" s="10" t="str">
        <v>スモーカー</v>
      </c>
      <c r="S62" s="10">
        <v>40</v>
      </c>
      <c r="T62" s="10">
        <v>226.28181818181821</v>
      </c>
    </row>
    <row r="63" spans="1:20" ht="15.75" customHeight="1">
      <c r="A63" s="5" t="s">
        <v>76</v>
      </c>
      <c r="B63" s="5">
        <v>0.4</v>
      </c>
      <c r="C63" s="3">
        <v>0.31</v>
      </c>
      <c r="D63" s="5">
        <v>70</v>
      </c>
      <c r="E63" s="5">
        <v>0.75</v>
      </c>
      <c r="F63" s="4">
        <v>130</v>
      </c>
      <c r="G63" t="s">
        <v>16</v>
      </c>
      <c r="H63" s="4">
        <v>100</v>
      </c>
      <c r="I63" s="4">
        <f t="shared" si="0"/>
        <v>270.29090909090905</v>
      </c>
      <c r="J63" s="10">
        <f t="shared" si="1"/>
        <v>235.29090909090908</v>
      </c>
      <c r="K63">
        <v>1</v>
      </c>
      <c r="L63" t="str">
        <v>stax</v>
      </c>
      <c r="M63">
        <v>0.28999999999999998</v>
      </c>
      <c r="N63">
        <v>0.15</v>
      </c>
      <c r="O63">
        <v>130</v>
      </c>
      <c r="P63">
        <v>0.67</v>
      </c>
      <c r="Q63">
        <v>80</v>
      </c>
      <c r="R63" s="10" t="str">
        <v>フラッシュ</v>
      </c>
      <c r="S63" s="10">
        <v>70</v>
      </c>
      <c r="T63" s="10">
        <v>225.66363636363633</v>
      </c>
    </row>
    <row r="64" spans="1:20" ht="15.75" customHeight="1">
      <c r="A64" s="5" t="s">
        <v>77</v>
      </c>
      <c r="B64" s="5">
        <v>0.28999999999999998</v>
      </c>
      <c r="C64" s="5">
        <v>0.19</v>
      </c>
      <c r="D64" s="5">
        <v>149</v>
      </c>
      <c r="E64" s="5">
        <v>0.69</v>
      </c>
      <c r="F64" s="4">
        <v>129</v>
      </c>
      <c r="G64" t="s">
        <v>12</v>
      </c>
      <c r="H64" s="4">
        <v>30</v>
      </c>
      <c r="I64" s="4">
        <f t="shared" si="0"/>
        <v>266.83636363636361</v>
      </c>
      <c r="J64" s="10">
        <f t="shared" si="1"/>
        <v>192.33636363636361</v>
      </c>
      <c r="K64">
        <v>1</v>
      </c>
      <c r="L64" t="str">
        <v>Sayonara</v>
      </c>
      <c r="M64">
        <v>0.33</v>
      </c>
      <c r="N64">
        <v>0.19</v>
      </c>
      <c r="O64">
        <v>89</v>
      </c>
      <c r="P64">
        <v>0.7</v>
      </c>
      <c r="Q64">
        <v>90</v>
      </c>
      <c r="R64" s="10" t="str">
        <v>シーカー</v>
      </c>
      <c r="S64" s="10">
        <v>80</v>
      </c>
      <c r="T64" s="10">
        <v>225.6090909090909</v>
      </c>
    </row>
    <row r="65" spans="1:20" ht="15.75" customHeight="1">
      <c r="A65" s="5" t="s">
        <v>78</v>
      </c>
      <c r="B65" s="5">
        <v>0.36</v>
      </c>
      <c r="C65" s="5">
        <v>0.25</v>
      </c>
      <c r="D65" s="5">
        <v>120</v>
      </c>
      <c r="E65" s="5">
        <v>0.78</v>
      </c>
      <c r="F65" s="4">
        <v>99</v>
      </c>
      <c r="G65" t="s">
        <v>14</v>
      </c>
      <c r="H65" s="4">
        <v>80</v>
      </c>
      <c r="I65" s="4">
        <f t="shared" si="0"/>
        <v>269.7</v>
      </c>
      <c r="J65" s="10">
        <f t="shared" si="1"/>
        <v>209.7</v>
      </c>
      <c r="K65">
        <v>1</v>
      </c>
      <c r="L65" t="str">
        <v>keiko</v>
      </c>
      <c r="M65">
        <v>0.31</v>
      </c>
      <c r="N65">
        <v>0.19</v>
      </c>
      <c r="O65">
        <v>89</v>
      </c>
      <c r="P65">
        <v>0.72</v>
      </c>
      <c r="Q65">
        <v>90</v>
      </c>
      <c r="R65" s="10" t="str">
        <v>スモーカー</v>
      </c>
      <c r="S65" s="10">
        <v>70</v>
      </c>
      <c r="T65" s="10">
        <v>225.6090909090909</v>
      </c>
    </row>
    <row r="66" spans="1:20" ht="15.75" customHeight="1">
      <c r="A66" s="5" t="s">
        <v>79</v>
      </c>
      <c r="B66" s="5">
        <v>0.35</v>
      </c>
      <c r="C66" s="5">
        <v>0.2</v>
      </c>
      <c r="D66" s="5">
        <v>115</v>
      </c>
      <c r="E66" s="5">
        <v>0.75</v>
      </c>
      <c r="F66" s="4">
        <v>135</v>
      </c>
      <c r="G66" t="s">
        <v>18</v>
      </c>
      <c r="H66" s="4">
        <v>50</v>
      </c>
      <c r="I66" s="4">
        <f t="shared" si="0"/>
        <v>269.86363636363637</v>
      </c>
      <c r="J66" s="10">
        <f t="shared" si="1"/>
        <v>212.36363636363637</v>
      </c>
      <c r="K66">
        <v>1</v>
      </c>
      <c r="L66" t="str">
        <v>Rossy</v>
      </c>
      <c r="M66">
        <v>0.3</v>
      </c>
      <c r="N66">
        <v>0.18</v>
      </c>
      <c r="O66">
        <v>89</v>
      </c>
      <c r="P66">
        <v>0.7</v>
      </c>
      <c r="Q66">
        <v>100</v>
      </c>
      <c r="R66" s="10" t="str">
        <v>シーカー</v>
      </c>
      <c r="S66" s="10">
        <v>50</v>
      </c>
      <c r="T66" s="10">
        <v>224.5545454545454</v>
      </c>
    </row>
    <row r="67" spans="1:20" ht="15.75" customHeight="1">
      <c r="A67" s="5" t="s">
        <v>80</v>
      </c>
      <c r="B67" s="5">
        <v>0.45</v>
      </c>
      <c r="C67" s="5">
        <v>0.2</v>
      </c>
      <c r="D67" s="5">
        <v>60</v>
      </c>
      <c r="E67" s="5">
        <v>0.8</v>
      </c>
      <c r="F67" s="4">
        <v>90</v>
      </c>
      <c r="G67" t="s">
        <v>16</v>
      </c>
      <c r="H67" s="4">
        <v>40</v>
      </c>
      <c r="I67" s="4">
        <f t="shared" ref="I67:I73" si="2">B67*130+(C67)*170+(D67/2)+(E67-0.2)*130+(F67/2.2)</f>
        <v>241.40909090909091</v>
      </c>
      <c r="J67" s="10">
        <f t="shared" ref="J67:J73" si="3">B67*130+(C67)*170+(E67-0.2)*130+(F67/2.2)</f>
        <v>211.40909090909091</v>
      </c>
      <c r="K67">
        <v>1</v>
      </c>
      <c r="L67" t="str">
        <v>Jinggg</v>
      </c>
      <c r="M67">
        <v>0.3</v>
      </c>
      <c r="N67">
        <v>0.26</v>
      </c>
      <c r="O67">
        <v>68</v>
      </c>
      <c r="P67">
        <v>0.71</v>
      </c>
      <c r="Q67">
        <v>90</v>
      </c>
      <c r="R67" s="10" t="str">
        <v>タイガー</v>
      </c>
      <c r="S67" s="10">
        <v>50</v>
      </c>
      <c r="T67" s="10">
        <v>224.40909090909091</v>
      </c>
    </row>
    <row r="68" spans="1:20" ht="15.75" customHeight="1">
      <c r="A68" s="5" t="s">
        <v>81</v>
      </c>
      <c r="B68" s="5">
        <v>0.28000000000000003</v>
      </c>
      <c r="C68" s="5">
        <v>0.16</v>
      </c>
      <c r="D68" s="5">
        <v>110</v>
      </c>
      <c r="E68" s="5">
        <v>0.75</v>
      </c>
      <c r="F68" s="4">
        <v>115</v>
      </c>
      <c r="G68" t="s">
        <v>18</v>
      </c>
      <c r="H68" s="4">
        <v>50</v>
      </c>
      <c r="I68" s="4">
        <f t="shared" si="2"/>
        <v>242.37272727272727</v>
      </c>
      <c r="J68" s="10">
        <f t="shared" si="3"/>
        <v>187.37272727272727</v>
      </c>
      <c r="K68">
        <v>1</v>
      </c>
      <c r="L68" t="str">
        <v>Jamppi</v>
      </c>
      <c r="M68">
        <v>0.27</v>
      </c>
      <c r="N68">
        <v>0.15</v>
      </c>
      <c r="O68">
        <v>125</v>
      </c>
      <c r="P68">
        <v>0.68</v>
      </c>
      <c r="Q68">
        <v>85</v>
      </c>
      <c r="R68" s="10" t="str">
        <v>フラッシュ</v>
      </c>
      <c r="S68" s="10">
        <v>55</v>
      </c>
      <c r="T68" s="10">
        <v>224.13636363636363</v>
      </c>
    </row>
    <row r="69" spans="1:20" ht="15.75" customHeight="1">
      <c r="A69" s="5" t="s">
        <v>82</v>
      </c>
      <c r="B69" s="5">
        <v>0.41</v>
      </c>
      <c r="C69" s="5">
        <v>0.17</v>
      </c>
      <c r="D69" s="5">
        <v>95</v>
      </c>
      <c r="E69" s="5">
        <v>0.77</v>
      </c>
      <c r="F69" s="4">
        <v>135</v>
      </c>
      <c r="G69" t="s">
        <v>16</v>
      </c>
      <c r="H69" s="4">
        <v>80</v>
      </c>
      <c r="I69" s="4">
        <f t="shared" si="2"/>
        <v>265.16363636363639</v>
      </c>
      <c r="J69" s="10">
        <f t="shared" si="3"/>
        <v>217.66363636363639</v>
      </c>
      <c r="K69">
        <v>1</v>
      </c>
      <c r="L69" t="str">
        <v>Verno</v>
      </c>
      <c r="M69">
        <v>0.35</v>
      </c>
      <c r="N69">
        <v>0.16</v>
      </c>
      <c r="O69">
        <v>86</v>
      </c>
      <c r="P69">
        <v>0.7</v>
      </c>
      <c r="Q69">
        <v>95</v>
      </c>
      <c r="R69" s="10" t="str">
        <v>シーカー</v>
      </c>
      <c r="S69" s="10">
        <v>80</v>
      </c>
      <c r="T69" s="10">
        <v>223.88181818181818</v>
      </c>
    </row>
    <row r="70" spans="1:20" ht="15.75" customHeight="1">
      <c r="A70" s="5" t="s">
        <v>83</v>
      </c>
      <c r="B70" s="5">
        <v>0.47</v>
      </c>
      <c r="C70" s="5">
        <v>0.19</v>
      </c>
      <c r="D70" s="5">
        <v>135</v>
      </c>
      <c r="E70" s="5">
        <v>0.6</v>
      </c>
      <c r="F70" s="4">
        <v>125</v>
      </c>
      <c r="G70" t="s">
        <v>16</v>
      </c>
      <c r="H70" s="4">
        <v>100</v>
      </c>
      <c r="I70" s="4">
        <f t="shared" si="2"/>
        <v>269.71818181818179</v>
      </c>
      <c r="J70" s="10">
        <f t="shared" si="3"/>
        <v>202.21818181818179</v>
      </c>
      <c r="K70">
        <v>1</v>
      </c>
      <c r="L70" t="str">
        <v>d4v41</v>
      </c>
      <c r="M70">
        <v>0.35</v>
      </c>
      <c r="N70">
        <v>0.17</v>
      </c>
      <c r="O70">
        <v>70</v>
      </c>
      <c r="P70">
        <v>0.71</v>
      </c>
      <c r="Q70">
        <v>105</v>
      </c>
      <c r="R70" s="10" t="str">
        <v>シーカー</v>
      </c>
      <c r="S70" s="10">
        <v>40</v>
      </c>
      <c r="T70" s="10">
        <v>223.42727272727271</v>
      </c>
    </row>
    <row r="71" spans="1:20" ht="15.75" customHeight="1">
      <c r="A71" s="5" t="s">
        <v>84</v>
      </c>
      <c r="B71" s="5">
        <v>0.36</v>
      </c>
      <c r="C71" s="5">
        <v>0.21</v>
      </c>
      <c r="D71" s="5">
        <v>130</v>
      </c>
      <c r="E71" s="5">
        <v>0.78</v>
      </c>
      <c r="F71" s="4">
        <v>80</v>
      </c>
      <c r="G71" t="s">
        <v>18</v>
      </c>
      <c r="H71" s="4">
        <v>50</v>
      </c>
      <c r="I71" s="4">
        <f t="shared" si="2"/>
        <v>259.26363636363635</v>
      </c>
      <c r="J71" s="10">
        <f t="shared" si="3"/>
        <v>194.26363636363635</v>
      </c>
      <c r="K71">
        <v>1</v>
      </c>
      <c r="L71" t="str">
        <v>Laz</v>
      </c>
      <c r="M71">
        <v>0.4</v>
      </c>
      <c r="N71">
        <v>0.14000000000000001</v>
      </c>
      <c r="O71">
        <v>70</v>
      </c>
      <c r="P71">
        <v>0.75</v>
      </c>
      <c r="Q71">
        <v>86</v>
      </c>
      <c r="R71" s="10" t="str">
        <v>フラッシュ</v>
      </c>
      <c r="S71" s="10">
        <v>80</v>
      </c>
      <c r="T71" s="10">
        <v>221.3909090909091</v>
      </c>
    </row>
    <row r="72" spans="1:20" ht="15.75" customHeight="1">
      <c r="A72" s="5" t="s">
        <v>85</v>
      </c>
      <c r="B72" s="5">
        <v>0.5</v>
      </c>
      <c r="C72" s="5">
        <v>0.25</v>
      </c>
      <c r="D72" s="4">
        <v>75</v>
      </c>
      <c r="E72">
        <v>0.76</v>
      </c>
      <c r="F72" s="4">
        <v>121</v>
      </c>
      <c r="G72" t="s">
        <v>18</v>
      </c>
      <c r="H72">
        <v>100</v>
      </c>
      <c r="I72" s="4">
        <f t="shared" si="2"/>
        <v>272.8</v>
      </c>
      <c r="J72" s="10">
        <f t="shared" si="3"/>
        <v>235.3</v>
      </c>
      <c r="K72">
        <v>1</v>
      </c>
      <c r="L72" t="str">
        <v>Brawk</v>
      </c>
      <c r="M72">
        <v>0.32</v>
      </c>
      <c r="N72">
        <v>0.15</v>
      </c>
      <c r="O72">
        <v>90</v>
      </c>
      <c r="P72" s="10">
        <v>0.69</v>
      </c>
      <c r="Q72" s="10">
        <v>95</v>
      </c>
      <c r="R72" t="str">
        <v>シーカー</v>
      </c>
      <c r="S72">
        <v>90</v>
      </c>
      <c r="T72" s="10">
        <v>218.98181818181817</v>
      </c>
    </row>
    <row r="73" spans="1:20" ht="15.75" customHeight="1">
      <c r="A73" s="5" t="s">
        <v>86</v>
      </c>
      <c r="B73" s="5">
        <v>0.55000000000000004</v>
      </c>
      <c r="C73" s="5">
        <v>0.15</v>
      </c>
      <c r="D73" s="4">
        <v>75</v>
      </c>
      <c r="E73">
        <v>0.72</v>
      </c>
      <c r="F73" s="4">
        <v>150</v>
      </c>
      <c r="G73" t="s">
        <v>14</v>
      </c>
      <c r="H73">
        <v>150</v>
      </c>
      <c r="I73" s="4">
        <f t="shared" si="2"/>
        <v>270.28181818181821</v>
      </c>
      <c r="J73" s="10">
        <f t="shared" si="3"/>
        <v>232.78181818181821</v>
      </c>
      <c r="K73">
        <v>0</v>
      </c>
      <c r="L73" t="str">
        <v>FNS</v>
      </c>
      <c r="M73">
        <v>0.15</v>
      </c>
      <c r="N73">
        <v>0.13</v>
      </c>
      <c r="O73">
        <v>170</v>
      </c>
      <c r="P73" s="10">
        <v>0.63</v>
      </c>
      <c r="Q73" s="10">
        <v>70</v>
      </c>
      <c r="R73" t="str">
        <v>スモーカー</v>
      </c>
      <c r="S73">
        <v>40</v>
      </c>
      <c r="T73" s="10">
        <v>214.31818181818181</v>
      </c>
    </row>
    <row r="74" spans="1:20" ht="15.75" customHeight="1">
      <c r="A74" s="5"/>
      <c r="B74" s="5"/>
      <c r="C74" s="5"/>
      <c r="D74" s="4"/>
      <c r="F74" s="4"/>
      <c r="L74">
        <v>0</v>
      </c>
      <c r="M74">
        <v>0</v>
      </c>
      <c r="N74">
        <v>0</v>
      </c>
      <c r="O74">
        <v>0</v>
      </c>
      <c r="P74" s="10">
        <v>0</v>
      </c>
      <c r="Q74" s="10">
        <v>0</v>
      </c>
      <c r="R74">
        <v>0</v>
      </c>
      <c r="S74">
        <v>0</v>
      </c>
      <c r="T74">
        <v>0</v>
      </c>
    </row>
    <row r="75" spans="1:20" ht="15.75" customHeight="1">
      <c r="A75" s="5"/>
      <c r="B75" s="5"/>
      <c r="C75" s="5"/>
      <c r="D75" s="5"/>
      <c r="E75" s="5"/>
      <c r="F75" s="4"/>
      <c r="H75" s="4"/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 s="10">
        <v>0</v>
      </c>
      <c r="S75" s="10">
        <v>0</v>
      </c>
      <c r="T75">
        <v>0</v>
      </c>
    </row>
    <row r="76" spans="1:20" ht="15.75" customHeight="1">
      <c r="A76" s="5"/>
      <c r="B76" s="5"/>
      <c r="C76" s="5"/>
      <c r="D76" s="5"/>
      <c r="E76" s="5"/>
      <c r="F76" s="4"/>
      <c r="H76" s="4"/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 s="10">
        <v>0</v>
      </c>
      <c r="S76" s="10">
        <v>0</v>
      </c>
      <c r="T76">
        <v>0</v>
      </c>
    </row>
    <row r="77" spans="1:20" ht="15.75" customHeight="1">
      <c r="A77" s="5"/>
      <c r="B77" s="5"/>
      <c r="C77" s="5"/>
      <c r="D77" s="5"/>
      <c r="E77" s="5"/>
      <c r="F77" s="4"/>
      <c r="H77" s="4"/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 s="10">
        <v>0</v>
      </c>
      <c r="S77" s="10">
        <v>0</v>
      </c>
      <c r="T77">
        <v>0</v>
      </c>
    </row>
    <row r="78" spans="1:20" ht="15.75" customHeight="1">
      <c r="A78" s="5"/>
      <c r="B78" s="5"/>
      <c r="C78" s="5"/>
      <c r="D78" s="5"/>
      <c r="E78" s="5"/>
      <c r="F78" s="4"/>
      <c r="H78" s="4"/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 s="10">
        <v>0</v>
      </c>
      <c r="S78" s="10">
        <v>0</v>
      </c>
      <c r="T78">
        <v>0</v>
      </c>
    </row>
    <row r="79" spans="1:20" ht="15.75" customHeight="1">
      <c r="A79" s="5"/>
      <c r="B79" s="5"/>
      <c r="C79" s="5"/>
      <c r="D79" s="5"/>
      <c r="E79" s="5"/>
      <c r="F79" s="4"/>
      <c r="H79" s="4"/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 s="10">
        <v>0</v>
      </c>
      <c r="S79" s="10">
        <v>0</v>
      </c>
      <c r="T79">
        <v>0</v>
      </c>
    </row>
    <row r="80" spans="1:20" ht="15.75" customHeight="1">
      <c r="A80" s="5"/>
      <c r="B80" s="5"/>
      <c r="C80" s="5"/>
      <c r="D80" s="5"/>
      <c r="E80" s="3"/>
      <c r="F80" s="4"/>
      <c r="H80" s="4"/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 s="10">
        <v>0</v>
      </c>
      <c r="S80" s="10">
        <v>0</v>
      </c>
      <c r="T80">
        <v>0</v>
      </c>
    </row>
    <row r="81" spans="1:20" ht="15.75" customHeight="1">
      <c r="A81" s="5"/>
      <c r="B81" s="5"/>
      <c r="C81" s="5"/>
      <c r="D81" s="5"/>
      <c r="E81" s="3"/>
      <c r="F81" s="4"/>
      <c r="H81" s="4"/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 s="10">
        <v>0</v>
      </c>
      <c r="S81" s="10">
        <v>0</v>
      </c>
      <c r="T81">
        <v>0</v>
      </c>
    </row>
    <row r="82" spans="1:20" ht="15.75" customHeight="1">
      <c r="A82" s="5"/>
      <c r="B82" s="5"/>
      <c r="C82" s="5"/>
      <c r="D82" s="5"/>
      <c r="E82" s="5"/>
      <c r="F82" s="4"/>
      <c r="H82" s="4"/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 s="10">
        <v>0</v>
      </c>
      <c r="S82" s="10">
        <v>0</v>
      </c>
      <c r="T82">
        <v>0</v>
      </c>
    </row>
    <row r="83" spans="1:20" ht="15.75" customHeight="1">
      <c r="A83" s="5"/>
      <c r="B83" s="5"/>
      <c r="C83" s="5"/>
      <c r="D83" s="5"/>
      <c r="E83" s="5"/>
      <c r="F83" s="4"/>
      <c r="H83" s="4"/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 s="10">
        <v>0</v>
      </c>
      <c r="S83" s="10">
        <v>0</v>
      </c>
      <c r="T83">
        <v>0</v>
      </c>
    </row>
    <row r="84" spans="1:20" ht="15.75" customHeight="1">
      <c r="A84" s="5"/>
      <c r="B84" s="5"/>
      <c r="C84" s="5"/>
      <c r="D84" s="5"/>
      <c r="E84" s="5"/>
      <c r="F84" s="4"/>
      <c r="H84" s="4"/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 s="10">
        <v>0</v>
      </c>
      <c r="S84" s="10">
        <v>0</v>
      </c>
      <c r="T84">
        <v>0</v>
      </c>
    </row>
    <row r="85" spans="1:20" ht="15.75" customHeight="1">
      <c r="A85" s="5"/>
      <c r="B85" s="5"/>
      <c r="C85" s="5"/>
      <c r="D85" s="5"/>
      <c r="E85" s="5"/>
      <c r="F85" s="4"/>
      <c r="H85" s="4"/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 s="10">
        <v>0</v>
      </c>
      <c r="S85" s="10">
        <v>0</v>
      </c>
      <c r="T85">
        <v>0</v>
      </c>
    </row>
    <row r="86" spans="1:20" ht="15.75" customHeight="1">
      <c r="A86" s="5"/>
      <c r="B86" s="5"/>
      <c r="C86" s="5"/>
      <c r="D86" s="5"/>
      <c r="E86" s="5"/>
      <c r="F86" s="4"/>
      <c r="H86" s="4"/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 s="10">
        <v>0</v>
      </c>
      <c r="S86" s="10">
        <v>0</v>
      </c>
      <c r="T86">
        <v>0</v>
      </c>
    </row>
    <row r="87" spans="1:20" ht="15.75" customHeight="1">
      <c r="A87" s="5"/>
      <c r="B87" s="5"/>
      <c r="C87" s="5"/>
      <c r="D87" s="5"/>
      <c r="E87" s="5"/>
      <c r="F87" s="4"/>
      <c r="H87" s="4"/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 s="10">
        <v>0</v>
      </c>
      <c r="S87" s="10">
        <v>0</v>
      </c>
      <c r="T87">
        <v>0</v>
      </c>
    </row>
    <row r="88" spans="1:20" ht="15.75" customHeight="1">
      <c r="A88" s="5"/>
      <c r="B88" s="5"/>
      <c r="C88" s="5"/>
      <c r="D88" s="5"/>
      <c r="E88" s="5"/>
      <c r="F88" s="4"/>
      <c r="H88" s="4"/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 s="10">
        <v>0</v>
      </c>
      <c r="S88" s="10">
        <v>0</v>
      </c>
      <c r="T88">
        <v>0</v>
      </c>
    </row>
    <row r="89" spans="1:20" ht="15.75" customHeight="1">
      <c r="A89" s="5"/>
      <c r="B89" s="5"/>
      <c r="C89" s="5"/>
      <c r="D89" s="5"/>
      <c r="E89" s="5"/>
      <c r="F89" s="4"/>
      <c r="H89" s="4"/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 s="10">
        <v>0</v>
      </c>
      <c r="S89" s="10">
        <v>0</v>
      </c>
      <c r="T89">
        <v>0</v>
      </c>
    </row>
    <row r="90" spans="1:20" ht="15.75" customHeight="1">
      <c r="A90" s="5"/>
      <c r="B90" s="5"/>
      <c r="C90" s="5"/>
      <c r="D90" s="5"/>
      <c r="E90" s="5"/>
      <c r="F90" s="4"/>
      <c r="H90" s="4"/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 s="10">
        <v>0</v>
      </c>
      <c r="S90" s="10">
        <v>0</v>
      </c>
      <c r="T90">
        <v>0</v>
      </c>
    </row>
    <row r="91" spans="1:20" ht="15.75" customHeight="1">
      <c r="A91" s="5"/>
      <c r="B91" s="5"/>
      <c r="C91" s="5"/>
      <c r="D91" s="5"/>
      <c r="E91" s="5"/>
      <c r="F91" s="4"/>
      <c r="H91" s="4"/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 s="10">
        <v>0</v>
      </c>
      <c r="S91" s="10">
        <v>0</v>
      </c>
      <c r="T91">
        <v>0</v>
      </c>
    </row>
    <row r="92" spans="1:20" ht="15.75" customHeight="1">
      <c r="A92" s="5"/>
      <c r="B92" s="5"/>
      <c r="C92" s="5"/>
      <c r="D92" s="5"/>
      <c r="E92" s="5"/>
      <c r="F92" s="4"/>
      <c r="H92" s="4"/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 s="10">
        <v>0</v>
      </c>
      <c r="S92" s="10">
        <v>0</v>
      </c>
      <c r="T92">
        <v>0</v>
      </c>
    </row>
    <row r="93" spans="1:20" ht="15.75" customHeight="1"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 s="10">
        <v>0</v>
      </c>
      <c r="S93" s="10">
        <v>0</v>
      </c>
      <c r="T93">
        <v>0</v>
      </c>
    </row>
    <row r="94" spans="1:20" ht="15.75" customHeight="1"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 s="10">
        <v>0</v>
      </c>
      <c r="S94" s="10">
        <v>0</v>
      </c>
      <c r="T94">
        <v>0</v>
      </c>
    </row>
    <row r="95" spans="1:20" ht="15.75" customHeight="1"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 s="10">
        <v>0</v>
      </c>
      <c r="S95" s="10">
        <v>0</v>
      </c>
      <c r="T95">
        <v>0</v>
      </c>
    </row>
    <row r="96" spans="1:20" ht="15.75" customHeight="1"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 s="10">
        <v>0</v>
      </c>
      <c r="S96" s="10">
        <v>0</v>
      </c>
      <c r="T96">
        <v>0</v>
      </c>
    </row>
    <row r="97" spans="12:20" ht="15.75" customHeight="1"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 s="10">
        <v>0</v>
      </c>
      <c r="S97" s="10">
        <v>0</v>
      </c>
      <c r="T97">
        <v>0</v>
      </c>
    </row>
    <row r="98" spans="12:20" ht="15.75" customHeight="1"/>
    <row r="99" spans="12:20" ht="15.75" customHeight="1"/>
    <row r="100" spans="12:20" ht="15.75" customHeight="1"/>
    <row r="101" spans="12:20" ht="15.75" customHeight="1"/>
    <row r="102" spans="12:20" ht="15.75" customHeight="1"/>
    <row r="103" spans="12:20" ht="15.75" customHeight="1"/>
    <row r="104" spans="12:20" ht="15.75" customHeight="1"/>
    <row r="105" spans="12:20" ht="15.75" customHeight="1"/>
    <row r="106" spans="12:20" ht="15.75" customHeight="1"/>
    <row r="107" spans="12:20" ht="15.75" customHeight="1"/>
    <row r="108" spans="12:20" ht="15.75" customHeight="1"/>
    <row r="109" spans="12:20" ht="15.75" customHeight="1"/>
    <row r="110" spans="12:20" ht="15.75" customHeight="1"/>
    <row r="111" spans="12:20" ht="15.75" customHeight="1"/>
    <row r="112" spans="12:20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2026-07-19T07:32:30Z</dcterms:created>
  <dcterms:modified xsi:type="dcterms:W3CDTF">2026-07-23T08:05:35Z</dcterms:modified>
  <cp:category/>
  <cp:contentStatus/>
</cp:coreProperties>
</file>